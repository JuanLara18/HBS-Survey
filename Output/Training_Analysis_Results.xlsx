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Firm Summary Stats" sheetId="2" state="visible" r:id="rId2"/>
    <sheet xmlns:r="http://schemas.openxmlformats.org/officeDocument/2006/relationships" name="HR Practices" sheetId="3" state="visible" r:id="rId3"/>
    <sheet xmlns:r="http://schemas.openxmlformats.org/officeDocument/2006/relationships" name="Skills Gaps" sheetId="4" state="visible" r:id="rId4"/>
    <sheet xmlns:r="http://schemas.openxmlformats.org/officeDocument/2006/relationships" name="Training Types" sheetId="5" state="visible" r:id="rId5"/>
    <sheet xmlns:r="http://schemas.openxmlformats.org/officeDocument/2006/relationships" name="Program Characteristics" sheetId="6" state="visible" r:id="rId6"/>
    <sheet xmlns:r="http://schemas.openxmlformats.org/officeDocument/2006/relationships" name="Training Clusters" sheetId="7" state="visible" r:id="rId7"/>
    <sheet xmlns:r="http://schemas.openxmlformats.org/officeDocument/2006/relationships" name="Cluster vs Reskilling" sheetId="8" state="visible" r:id="rId8"/>
    <sheet xmlns:r="http://schemas.openxmlformats.org/officeDocument/2006/relationships" name="Reskilling Regressions" sheetId="9" state="visible" r:id="rId9"/>
    <sheet xmlns:r="http://schemas.openxmlformats.org/officeDocument/2006/relationships" name="Cluster Regressions" sheetId="10" state="visible" r:id="rId10"/>
    <sheet xmlns:r="http://schemas.openxmlformats.org/officeDocument/2006/relationships" name="Complex Reskillin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i val="1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F2FF"/>
        <b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0" fontId="2" fillId="0" borderId="0" pivotButton="0" quotePrefix="0" xfId="0"/>
    <xf numFmtId="2" fontId="0" fillId="3" borderId="1" pivotButton="0" quotePrefix="0" xfId="0"/>
    <xf numFmtId="2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Relationship Type="http://schemas.openxmlformats.org/officeDocument/2006/relationships/image" Target="/xl/media/image6.pn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Relationship Type="http://schemas.openxmlformats.org/officeDocument/2006/relationships/image" Target="/xl/media/image11.png" Id="rId3"/><Relationship Type="http://schemas.openxmlformats.org/officeDocument/2006/relationships/image" Target="/xl/media/image12.png" Id="rId4"/></Relationships>
</file>

<file path=xl/drawings/_rels/drawing5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Relationship Type="http://schemas.openxmlformats.org/officeDocument/2006/relationships/image" Target="/xl/media/image15.png" Id="rId3"/></Relationships>
</file>

<file path=xl/drawings/_rels/drawing6.xml.rels><Relationships xmlns="http://schemas.openxmlformats.org/package/2006/relationships"><Relationship Type="http://schemas.openxmlformats.org/officeDocument/2006/relationships/image" Target="/xl/media/image16.png" Id="rId1"/><Relationship Type="http://schemas.openxmlformats.org/officeDocument/2006/relationships/image" Target="/xl/media/image17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29</row>
      <rowOff>0</rowOff>
    </from>
    <ext cx="4714875" cy="3619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</row>
      <rowOff>0</rowOff>
    </from>
    <ext cx="4714875" cy="3619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</row>
      <rowOff>0</rowOff>
    </from>
    <ext cx="4714875" cy="3619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67</row>
      <rowOff>0</rowOff>
    </from>
    <ext cx="4533900" cy="3629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</row>
      <rowOff>0</rowOff>
    </from>
    <ext cx="6029325" cy="25050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</row>
      <rowOff>0</rowOff>
    </from>
    <ext cx="5438775" cy="36290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15</row>
      <rowOff>0</rowOff>
    </from>
    <ext cx="5438775" cy="3629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8572500" cy="65627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91</row>
      <rowOff>0</rowOff>
    </from>
    <ext cx="8572500" cy="6562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</row>
      <rowOff>0</rowOff>
    </from>
    <ext cx="8572500" cy="65627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</row>
      <rowOff>0</rowOff>
    </from>
    <ext cx="8572500" cy="65627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154</row>
      <rowOff>0</rowOff>
    </from>
    <ext cx="8572500" cy="65627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56</row>
      <rowOff>0</rowOff>
    </from>
    <ext cx="8572500" cy="6562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</row>
      <rowOff>0</rowOff>
    </from>
    <ext cx="8572500" cy="65627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</row>
      <rowOff>0</rowOff>
    </from>
    <ext cx="8572500" cy="65627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56</row>
      <rowOff>0</rowOff>
    </from>
    <ext cx="8572500" cy="6562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</row>
      <rowOff>0</rowOff>
    </from>
    <ext cx="8572500" cy="65627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7" customWidth="1" min="1" max="1"/>
    <col width="77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</cols>
  <sheetData>
    <row r="1">
      <c r="A1" s="1" t="inlineStr">
        <is>
          <t>Training Analysis Results - Table of Contents</t>
        </is>
      </c>
    </row>
    <row r="2"/>
    <row r="3">
      <c r="A3" s="2" t="inlineStr">
        <is>
          <t>Sheet</t>
        </is>
      </c>
      <c r="B3" s="2" t="inlineStr">
        <is>
          <t>Description</t>
        </is>
      </c>
    </row>
    <row r="4">
      <c r="A4" s="3" t="inlineStr">
        <is>
          <t>1. Firm Summary Stats</t>
        </is>
      </c>
      <c r="B4" s="3" t="inlineStr">
        <is>
          <t>Summary statistics of firms (size, position, industry)</t>
        </is>
      </c>
    </row>
    <row r="5">
      <c r="A5" s="4" t="inlineStr">
        <is>
          <t>2. HR Practices</t>
        </is>
      </c>
      <c r="B5" s="4" t="inlineStr">
        <is>
          <t>Summary statistics on HR practices (individual indices and overall index)</t>
        </is>
      </c>
    </row>
    <row r="6">
      <c r="A6" s="3" t="inlineStr">
        <is>
          <t>3. Skills Gaps</t>
        </is>
      </c>
      <c r="B6" s="3" t="inlineStr">
        <is>
          <t>Summary statistics on skills gaps and coping mechanisms</t>
        </is>
      </c>
    </row>
    <row r="7">
      <c r="A7" s="4" t="inlineStr">
        <is>
          <t>4. Training Types</t>
        </is>
      </c>
      <c r="B7" s="4" t="inlineStr">
        <is>
          <t>Fraction of generic training, upskilling and reskilling</t>
        </is>
      </c>
    </row>
    <row r="8">
      <c r="A8" s="3" t="inlineStr">
        <is>
          <t>5. Program Characteristics</t>
        </is>
      </c>
      <c r="B8" s="3" t="inlineStr">
        <is>
          <t>Summary statistics of program characteristics (total and by type)</t>
        </is>
      </c>
    </row>
    <row r="9">
      <c r="A9" s="4" t="inlineStr">
        <is>
          <t>6. Training Clusters</t>
        </is>
      </c>
      <c r="B9" s="4" t="inlineStr">
        <is>
          <t>Clusters of training programs (2-cluster analysis)</t>
        </is>
      </c>
    </row>
    <row r="10">
      <c r="A10" s="3" t="inlineStr">
        <is>
          <t>7. Cluster vs Reskilling</t>
        </is>
      </c>
      <c r="B10" s="3" t="inlineStr">
        <is>
          <t>Tabulation of cluster vs reskilling dummy</t>
        </is>
      </c>
    </row>
    <row r="11">
      <c r="A11" s="4" t="inlineStr">
        <is>
          <t>8. Reskilling Regressions</t>
        </is>
      </c>
      <c r="B11" s="4" t="inlineStr">
        <is>
          <t>Regression with reskilling dummy as dependent variable</t>
        </is>
      </c>
    </row>
    <row r="12">
      <c r="A12" s="3" t="inlineStr">
        <is>
          <t>9. Cluster Regressions</t>
        </is>
      </c>
      <c r="B12" s="3" t="inlineStr">
        <is>
          <t>Regression with cluster as dependent variable</t>
        </is>
      </c>
    </row>
    <row r="13">
      <c r="A13" s="4" t="inlineStr">
        <is>
          <t>10. Complex Reskilling</t>
        </is>
      </c>
      <c r="B13" s="4" t="inlineStr">
        <is>
          <t>Regression with combined reskilling &amp; complex program as dependent variable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11" customWidth="1" min="3" max="3"/>
    <col width="11" customWidth="1" min="4" max="4"/>
    <col width="6" customWidth="1" min="5" max="5"/>
    <col width="6" customWidth="1" min="6" max="6"/>
    <col width="6" customWidth="1" min="7" max="7"/>
    <col width="6" customWidth="1" min="8" max="8"/>
  </cols>
  <sheetData>
    <row r="1">
      <c r="A1" s="1" t="inlineStr">
        <is>
          <t>Summary Statistics of Firms</t>
        </is>
      </c>
    </row>
    <row r="2"/>
    <row r="3">
      <c r="A3" s="5" t="inlineStr">
        <is>
          <t>Firm Size Distribution</t>
        </is>
      </c>
    </row>
    <row r="4">
      <c r="A4" s="2">
        <f>""</f>
        <v/>
      </c>
      <c r="B4" s="2">
        <f>"freq"</f>
        <v/>
      </c>
      <c r="C4" s="2">
        <f>"pct"</f>
        <v/>
      </c>
      <c r="D4" s="2">
        <f>"cumpct"</f>
        <v/>
      </c>
    </row>
    <row r="5">
      <c r="A5" s="4">
        <f>"100-999"</f>
        <v/>
      </c>
      <c r="B5" s="4">
        <f>"387"</f>
        <v/>
      </c>
      <c r="C5" s="4">
        <f>"32.01"</f>
        <v/>
      </c>
      <c r="D5" s="4">
        <f>"32.01"</f>
        <v/>
      </c>
    </row>
    <row r="6">
      <c r="A6" s="3">
        <f>"1000-2499"</f>
        <v/>
      </c>
      <c r="B6" s="3">
        <f>"315"</f>
        <v/>
      </c>
      <c r="C6" s="3">
        <f>"26.05"</f>
        <v/>
      </c>
      <c r="D6" s="3">
        <f>"58.06"</f>
        <v/>
      </c>
    </row>
    <row r="7">
      <c r="A7" s="4">
        <f>"2500&gt;9999"</f>
        <v/>
      </c>
      <c r="B7" s="4">
        <f>"335"</f>
        <v/>
      </c>
      <c r="C7" s="4">
        <f>"27.71"</f>
        <v/>
      </c>
      <c r="D7" s="4">
        <f>"85.77"</f>
        <v/>
      </c>
    </row>
    <row r="8">
      <c r="A8" s="3">
        <f>"&gt;10k"</f>
        <v/>
      </c>
      <c r="B8" s="3">
        <f>"172"</f>
        <v/>
      </c>
      <c r="C8" s="3">
        <f>"14.23"</f>
        <v/>
      </c>
      <c r="D8" s="3">
        <f>"100.00"</f>
        <v/>
      </c>
    </row>
    <row r="9">
      <c r="A9" s="4">
        <f>"Total"</f>
        <v/>
      </c>
      <c r="B9" s="4">
        <f>"1209"</f>
        <v/>
      </c>
      <c r="C9" s="4">
        <f>"100.00"</f>
        <v/>
      </c>
      <c r="D9" s="4">
        <f>""</f>
        <v/>
      </c>
    </row>
    <row r="10"/>
    <row r="11">
      <c r="A11" s="5" t="inlineStr">
        <is>
          <t>Position Distribution</t>
        </is>
      </c>
    </row>
    <row r="12">
      <c r="A12" s="2">
        <f>""</f>
        <v/>
      </c>
      <c r="B12" s="2">
        <f>"freq"</f>
        <v/>
      </c>
      <c r="C12" s="2">
        <f>"pct"</f>
        <v/>
      </c>
      <c r="D12" s="2">
        <f>"cumpct"</f>
        <v/>
      </c>
    </row>
    <row r="13">
      <c r="A13" s="4">
        <f>"1"</f>
        <v/>
      </c>
      <c r="B13" s="4">
        <f>"105"</f>
        <v/>
      </c>
      <c r="C13" s="4">
        <f>"8.68"</f>
        <v/>
      </c>
      <c r="D13" s="4">
        <f>"8.68"</f>
        <v/>
      </c>
    </row>
    <row r="14">
      <c r="A14" s="3">
        <f>"2"</f>
        <v/>
      </c>
      <c r="B14" s="3">
        <f>"32"</f>
        <v/>
      </c>
      <c r="C14" s="3">
        <f>"2.65"</f>
        <v/>
      </c>
      <c r="D14" s="3">
        <f>"11.33"</f>
        <v/>
      </c>
    </row>
    <row r="15">
      <c r="A15" s="4">
        <f>"3"</f>
        <v/>
      </c>
      <c r="B15" s="4">
        <f>"63"</f>
        <v/>
      </c>
      <c r="C15" s="4">
        <f>"5.21"</f>
        <v/>
      </c>
      <c r="D15" s="4">
        <f>"16.54"</f>
        <v/>
      </c>
    </row>
    <row r="16">
      <c r="A16" s="3">
        <f>"4"</f>
        <v/>
      </c>
      <c r="B16" s="3">
        <f>"445"</f>
        <v/>
      </c>
      <c r="C16" s="3">
        <f>"36.81"</f>
        <v/>
      </c>
      <c r="D16" s="3">
        <f>"53.35"</f>
        <v/>
      </c>
    </row>
    <row r="17">
      <c r="A17" s="4">
        <f>"5"</f>
        <v/>
      </c>
      <c r="B17" s="4">
        <f>"63"</f>
        <v/>
      </c>
      <c r="C17" s="4">
        <f>"5.21"</f>
        <v/>
      </c>
      <c r="D17" s="4">
        <f>"58.56"</f>
        <v/>
      </c>
    </row>
    <row r="18">
      <c r="A18" s="3">
        <f>"6"</f>
        <v/>
      </c>
      <c r="B18" s="3">
        <f>"414"</f>
        <v/>
      </c>
      <c r="C18" s="3">
        <f>"34.24"</f>
        <v/>
      </c>
      <c r="D18" s="3">
        <f>"92.80"</f>
        <v/>
      </c>
    </row>
    <row r="19">
      <c r="A19" s="4">
        <f>"7"</f>
        <v/>
      </c>
      <c r="B19" s="4">
        <f>"87"</f>
        <v/>
      </c>
      <c r="C19" s="4">
        <f>"7.20"</f>
        <v/>
      </c>
      <c r="D19" s="4">
        <f>"100.00"</f>
        <v/>
      </c>
    </row>
    <row r="20">
      <c r="A20" s="3">
        <f>"Total"</f>
        <v/>
      </c>
      <c r="B20" s="3">
        <f>"1209"</f>
        <v/>
      </c>
      <c r="C20" s="3">
        <f>"100.00"</f>
        <v/>
      </c>
      <c r="D20" s="3">
        <f>""</f>
        <v/>
      </c>
    </row>
    <row r="21"/>
    <row r="22">
      <c r="A22" s="5" t="inlineStr">
        <is>
          <t>Industry Distribution</t>
        </is>
      </c>
    </row>
    <row r="23">
      <c r="A23" s="2">
        <f>""</f>
        <v/>
      </c>
      <c r="B23" s="2">
        <f>"freq"</f>
        <v/>
      </c>
      <c r="C23" s="2">
        <f>"pct"</f>
        <v/>
      </c>
      <c r="D23" s="2">
        <f>"cumpct"</f>
        <v/>
      </c>
    </row>
    <row r="24">
      <c r="A24" s="3">
        <f>"1"</f>
        <v/>
      </c>
      <c r="B24" s="3">
        <f>"111"</f>
        <v/>
      </c>
      <c r="C24" s="3">
        <f>"9.18"</f>
        <v/>
      </c>
      <c r="D24" s="3">
        <f>"9.18"</f>
        <v/>
      </c>
    </row>
    <row r="25">
      <c r="A25" s="4">
        <f>"2"</f>
        <v/>
      </c>
      <c r="B25" s="4">
        <f>"113"</f>
        <v/>
      </c>
      <c r="C25" s="4">
        <f>"9.35"</f>
        <v/>
      </c>
      <c r="D25" s="4">
        <f>"18.53"</f>
        <v/>
      </c>
    </row>
    <row r="26">
      <c r="A26" s="3">
        <f>"3"</f>
        <v/>
      </c>
      <c r="B26" s="3">
        <f>"147"</f>
        <v/>
      </c>
      <c r="C26" s="3">
        <f>"12.16"</f>
        <v/>
      </c>
      <c r="D26" s="3">
        <f>"30.69"</f>
        <v/>
      </c>
    </row>
    <row r="27">
      <c r="A27" s="4">
        <f>"4"</f>
        <v/>
      </c>
      <c r="B27" s="4">
        <f>"81"</f>
        <v/>
      </c>
      <c r="C27" s="4">
        <f>"6.70"</f>
        <v/>
      </c>
      <c r="D27" s="4">
        <f>"37.39"</f>
        <v/>
      </c>
    </row>
    <row r="28">
      <c r="A28" s="3">
        <f>"5"</f>
        <v/>
      </c>
      <c r="B28" s="3">
        <f>"28"</f>
        <v/>
      </c>
      <c r="C28" s="3">
        <f>"2.32"</f>
        <v/>
      </c>
      <c r="D28" s="3">
        <f>"39.70"</f>
        <v/>
      </c>
    </row>
    <row r="29">
      <c r="A29" s="4">
        <f>"6"</f>
        <v/>
      </c>
      <c r="B29" s="4">
        <f>"233"</f>
        <v/>
      </c>
      <c r="C29" s="4">
        <f>"19.27"</f>
        <v/>
      </c>
      <c r="D29" s="4">
        <f>"58.97"</f>
        <v/>
      </c>
    </row>
    <row r="30">
      <c r="A30" s="3">
        <f>"7"</f>
        <v/>
      </c>
      <c r="B30" s="3">
        <f>"20"</f>
        <v/>
      </c>
      <c r="C30" s="3">
        <f>"1.65"</f>
        <v/>
      </c>
      <c r="D30" s="3">
        <f>"60.63"</f>
        <v/>
      </c>
    </row>
    <row r="31">
      <c r="A31" s="4">
        <f>"8"</f>
        <v/>
      </c>
      <c r="B31" s="4">
        <f>"167"</f>
        <v/>
      </c>
      <c r="C31" s="4">
        <f>"13.81"</f>
        <v/>
      </c>
      <c r="D31" s="4">
        <f>"74.44"</f>
        <v/>
      </c>
    </row>
    <row r="32">
      <c r="A32" s="3">
        <f>"9"</f>
        <v/>
      </c>
      <c r="B32" s="3">
        <f>"36"</f>
        <v/>
      </c>
      <c r="C32" s="3">
        <f>"2.98"</f>
        <v/>
      </c>
      <c r="D32" s="3">
        <f>"77.42"</f>
        <v/>
      </c>
    </row>
    <row r="33">
      <c r="A33" s="4">
        <f>"10"</f>
        <v/>
      </c>
      <c r="B33" s="4">
        <f>"273"</f>
        <v/>
      </c>
      <c r="C33" s="4">
        <f>"22.58"</f>
        <v/>
      </c>
      <c r="D33" s="4">
        <f>"100.00"</f>
        <v/>
      </c>
    </row>
    <row r="34">
      <c r="A34" s="3">
        <f>"Total"</f>
        <v/>
      </c>
      <c r="B34" s="3">
        <f>"1209"</f>
        <v/>
      </c>
      <c r="C34" s="3">
        <f>"100.00"</f>
        <v/>
      </c>
      <c r="D34" s="3">
        <f>""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3" customWidth="1" min="3" max="3"/>
    <col width="13" customWidth="1" min="4" max="4"/>
    <col width="8" customWidth="1" min="5" max="5"/>
    <col width="8" customWidth="1" min="6" max="6"/>
    <col width="6" customWidth="1" min="7" max="7"/>
    <col width="6" customWidth="1" min="8" max="8"/>
  </cols>
  <sheetData>
    <row r="1">
      <c r="A1" s="1" t="inlineStr">
        <is>
          <t>Summary Statistics on HR Practices</t>
        </is>
      </c>
    </row>
    <row r="2"/>
    <row r="3">
      <c r="A3" s="5" t="inlineStr">
        <is>
          <t>HR Practices Metrics</t>
        </is>
      </c>
    </row>
    <row r="4">
      <c r="A4" s="2">
        <f>""</f>
        <v/>
      </c>
      <c r="B4" s="2">
        <f>"(1)"</f>
        <v/>
      </c>
      <c r="C4" s="2">
        <f>"".1</f>
        <v/>
      </c>
      <c r="D4" s="2">
        <f>"".2</f>
        <v/>
      </c>
      <c r="E4" s="2">
        <f>"".3</f>
        <v/>
      </c>
      <c r="F4" s="2">
        <f>"".4</f>
        <v/>
      </c>
    </row>
    <row r="5">
      <c r="A5" s="4">
        <f>""</f>
        <v/>
      </c>
      <c r="B5" s="4">
        <f>""</f>
        <v/>
      </c>
      <c r="C5" s="4">
        <f>""</f>
        <v/>
      </c>
      <c r="D5" s="4">
        <f>""</f>
        <v/>
      </c>
      <c r="E5" s="4">
        <f>""</f>
        <v/>
      </c>
      <c r="F5" s="4">
        <f>""</f>
        <v/>
      </c>
    </row>
    <row r="6">
      <c r="A6" s="3">
        <f>""</f>
        <v/>
      </c>
      <c r="B6" s="3">
        <f>"count"</f>
        <v/>
      </c>
      <c r="C6" s="3">
        <f>"mean"</f>
        <v/>
      </c>
      <c r="D6" s="3">
        <f>"sd"</f>
        <v/>
      </c>
      <c r="E6" s="3">
        <f>"min"</f>
        <v/>
      </c>
      <c r="F6" s="3">
        <f>"max"</f>
        <v/>
      </c>
    </row>
    <row r="7">
      <c r="A7" s="4">
        <f>"hr_cat_workforce"</f>
        <v/>
      </c>
      <c r="B7" s="4">
        <f>"1209"</f>
        <v/>
      </c>
      <c r="C7" s="4">
        <f>"1.760132"</f>
        <v/>
      </c>
      <c r="D7" s="4">
        <f>".518242"</f>
        <v/>
      </c>
      <c r="E7" s="4">
        <f>"1"</f>
        <v/>
      </c>
      <c r="F7" s="4">
        <f>"3"</f>
        <v/>
      </c>
    </row>
    <row r="8">
      <c r="A8" s="3">
        <f>"hr_cat_skdescription"</f>
        <v/>
      </c>
      <c r="B8" s="3">
        <f>"1209"</f>
        <v/>
      </c>
      <c r="C8" s="3">
        <f>"1.121588"</f>
        <v/>
      </c>
      <c r="D8" s="3">
        <f>".3269447"</f>
        <v/>
      </c>
      <c r="E8" s="3">
        <f>"1"</f>
        <v/>
      </c>
      <c r="F8" s="3">
        <f>"2"</f>
        <v/>
      </c>
    </row>
    <row r="9">
      <c r="A9" s="4">
        <f>"hr_cat_skinventory"</f>
        <v/>
      </c>
      <c r="B9" s="4">
        <f>"1209"</f>
        <v/>
      </c>
      <c r="C9" s="4">
        <f>"1.162945"</f>
        <v/>
      </c>
      <c r="D9" s="4">
        <f>".3694679"</f>
        <v/>
      </c>
      <c r="E9" s="4">
        <f>"1"</f>
        <v/>
      </c>
      <c r="F9" s="4">
        <f>"2"</f>
        <v/>
      </c>
    </row>
    <row r="10">
      <c r="A10" s="3">
        <f>"hr_cat_skinventory_use"</f>
        <v/>
      </c>
      <c r="B10" s="3">
        <f>"1012"</f>
        <v/>
      </c>
      <c r="C10" s="3">
        <f>"4.342885"</f>
        <v/>
      </c>
      <c r="D10" s="3">
        <f>".7482381"</f>
        <v/>
      </c>
      <c r="E10" s="3">
        <f>"1"</f>
        <v/>
      </c>
      <c r="F10" s="3">
        <f>"5"</f>
        <v/>
      </c>
    </row>
    <row r="11">
      <c r="A11" s="4">
        <f>"hr_cat_academy"</f>
        <v/>
      </c>
      <c r="B11" s="4">
        <f>"1209"</f>
        <v/>
      </c>
      <c r="C11" s="4">
        <f>"1.612076"</f>
        <v/>
      </c>
      <c r="D11" s="4">
        <f>".7181791"</f>
        <v/>
      </c>
      <c r="E11" s="4">
        <f>"1"</f>
        <v/>
      </c>
      <c r="F11" s="4">
        <f>"3"</f>
        <v/>
      </c>
    </row>
    <row r="12">
      <c r="A12" s="3">
        <f>"hr_cat_internalmkt"</f>
        <v/>
      </c>
      <c r="B12" s="3">
        <f>"1209"</f>
        <v/>
      </c>
      <c r="C12" s="3">
        <f>"2.889165"</f>
        <v/>
      </c>
      <c r="D12" s="3">
        <f>"1.009536"</f>
        <v/>
      </c>
      <c r="E12" s="3">
        <f>"1"</f>
        <v/>
      </c>
      <c r="F12" s="3">
        <f>"4"</f>
        <v/>
      </c>
    </row>
    <row r="13">
      <c r="A13" s="4">
        <f>"hr_sk_description"</f>
        <v/>
      </c>
      <c r="B13" s="4">
        <f>"1209"</f>
        <v/>
      </c>
      <c r="C13" s="4">
        <f>".8784119"</f>
        <v/>
      </c>
      <c r="D13" s="4">
        <f>".3269447"</f>
        <v/>
      </c>
      <c r="E13" s="4">
        <f>"0"</f>
        <v/>
      </c>
      <c r="F13" s="4">
        <f>"1"</f>
        <v/>
      </c>
    </row>
    <row r="14">
      <c r="A14" s="3">
        <f>"hr_sk_inventory_use"</f>
        <v/>
      </c>
      <c r="B14" s="3">
        <f>"1209"</f>
        <v/>
      </c>
      <c r="C14" s="3">
        <f>".3912324"</f>
        <v/>
      </c>
      <c r="D14" s="3">
        <f>".4882282"</f>
        <v/>
      </c>
      <c r="E14" s="3">
        <f>"0"</f>
        <v/>
      </c>
      <c r="F14" s="3">
        <f>"1"</f>
        <v/>
      </c>
    </row>
    <row r="15">
      <c r="A15" s="4">
        <f>"hr_academy"</f>
        <v/>
      </c>
      <c r="B15" s="4">
        <f>"1209"</f>
        <v/>
      </c>
      <c r="C15" s="4">
        <f>".5268817"</f>
        <v/>
      </c>
      <c r="D15" s="4">
        <f>".4994835"</f>
        <v/>
      </c>
      <c r="E15" s="4">
        <f>"0"</f>
        <v/>
      </c>
      <c r="F15" s="4">
        <f>"1"</f>
        <v/>
      </c>
    </row>
    <row r="16">
      <c r="A16" s="3">
        <f>"hr_internalmkt"</f>
        <v/>
      </c>
      <c r="B16" s="3">
        <f>"1209"</f>
        <v/>
      </c>
      <c r="C16" s="3">
        <f>".2133995"</f>
        <v/>
      </c>
      <c r="D16" s="3">
        <f>".4098769"</f>
        <v/>
      </c>
      <c r="E16" s="3">
        <f>"0"</f>
        <v/>
      </c>
      <c r="F16" s="3">
        <f>"1"</f>
        <v/>
      </c>
    </row>
    <row r="17">
      <c r="A17" s="4">
        <f>"hr_d_workforce"</f>
        <v/>
      </c>
      <c r="B17" s="4">
        <f>"1209"</f>
        <v/>
      </c>
      <c r="C17" s="4">
        <f>".6741108"</f>
        <v/>
      </c>
      <c r="D17" s="4">
        <f>".4689001"</f>
        <v/>
      </c>
      <c r="E17" s="4">
        <f>"0"</f>
        <v/>
      </c>
      <c r="F17" s="4">
        <f>"1"</f>
        <v/>
      </c>
    </row>
    <row r="18">
      <c r="A18" s="3">
        <f>"hr_workforce"</f>
        <v/>
      </c>
      <c r="B18" s="3">
        <f>"1209"</f>
        <v/>
      </c>
      <c r="C18" s="3">
        <f>"1.760132"</f>
        <v/>
      </c>
      <c r="D18" s="3">
        <f>".518242"</f>
        <v/>
      </c>
      <c r="E18" s="3">
        <f>"1"</f>
        <v/>
      </c>
      <c r="F18" s="3">
        <f>"3"</f>
        <v/>
      </c>
    </row>
    <row r="19">
      <c r="A19" s="4">
        <f>"hr_d_sk_description"</f>
        <v/>
      </c>
      <c r="B19" s="4">
        <f>"1209"</f>
        <v/>
      </c>
      <c r="C19" s="4">
        <f>".8784119"</f>
        <v/>
      </c>
      <c r="D19" s="4">
        <f>".3269447"</f>
        <v/>
      </c>
      <c r="E19" s="4">
        <f>"0"</f>
        <v/>
      </c>
      <c r="F19" s="4">
        <f>"1"</f>
        <v/>
      </c>
    </row>
    <row r="20">
      <c r="A20" s="3">
        <f>"hr_d_sk_inventory"</f>
        <v/>
      </c>
      <c r="B20" s="3">
        <f>"1209"</f>
        <v/>
      </c>
      <c r="C20" s="3">
        <f>".8370554"</f>
        <v/>
      </c>
      <c r="D20" s="3">
        <f>".3694679"</f>
        <v/>
      </c>
      <c r="E20" s="3">
        <f>"0"</f>
        <v/>
      </c>
      <c r="F20" s="3">
        <f>"1"</f>
        <v/>
      </c>
    </row>
    <row r="21">
      <c r="A21" s="4">
        <f>"hr_d_sk_inventory_use"</f>
        <v/>
      </c>
      <c r="B21" s="4">
        <f>"1209"</f>
        <v/>
      </c>
      <c r="C21" s="4">
        <f>".3912324"</f>
        <v/>
      </c>
      <c r="D21" s="4">
        <f>".4882282"</f>
        <v/>
      </c>
      <c r="E21" s="4">
        <f>"0"</f>
        <v/>
      </c>
      <c r="F21" s="4">
        <f>"1"</f>
        <v/>
      </c>
    </row>
    <row r="22">
      <c r="A22" s="3">
        <f>"hr_d_academy"</f>
        <v/>
      </c>
      <c r="B22" s="3">
        <f>"1209"</f>
        <v/>
      </c>
      <c r="C22" s="3">
        <f>".5268817"</f>
        <v/>
      </c>
      <c r="D22" s="3">
        <f>".4994835"</f>
        <v/>
      </c>
      <c r="E22" s="3">
        <f>"0"</f>
        <v/>
      </c>
      <c r="F22" s="3">
        <f>"1"</f>
        <v/>
      </c>
    </row>
    <row r="23">
      <c r="A23" s="4">
        <f>"hr_d_internalmkt"</f>
        <v/>
      </c>
      <c r="B23" s="4">
        <f>"1209"</f>
        <v/>
      </c>
      <c r="C23" s="4">
        <f>".2133995"</f>
        <v/>
      </c>
      <c r="D23" s="4">
        <f>".4098769"</f>
        <v/>
      </c>
      <c r="E23" s="4">
        <f>"0"</f>
        <v/>
      </c>
      <c r="F23" s="4">
        <f>"1"</f>
        <v/>
      </c>
    </row>
    <row r="24">
      <c r="A24" s="3">
        <f>"hr_coarse_cat_skinventory_use"</f>
        <v/>
      </c>
      <c r="B24" s="3">
        <f>"1012"</f>
        <v/>
      </c>
      <c r="C24" s="3">
        <f>"2.87747"</f>
        <v/>
      </c>
      <c r="D24" s="3">
        <f>".4298532"</f>
        <v/>
      </c>
      <c r="E24" s="3">
        <f>"1"</f>
        <v/>
      </c>
      <c r="F24" s="3">
        <f>"3"</f>
        <v/>
      </c>
    </row>
    <row r="25">
      <c r="A25" s="4">
        <f>"N"</f>
        <v/>
      </c>
      <c r="B25" s="4">
        <f>"1209"</f>
        <v/>
      </c>
      <c r="C25" s="4">
        <f>""</f>
        <v/>
      </c>
      <c r="D25" s="4">
        <f>""</f>
        <v/>
      </c>
      <c r="E25" s="4">
        <f>""</f>
        <v/>
      </c>
      <c r="F25" s="4">
        <f>""</f>
        <v/>
      </c>
    </row>
    <row r="26"/>
    <row r="27"/>
    <row r="28">
      <c r="A28" s="5" t="inlineStr">
        <is>
          <t>HR Practices Visualizations</t>
        </is>
      </c>
    </row>
    <row r="29">
      <c r="A29" s="5" t="inlineStr">
        <is>
          <t>Workforce Planning</t>
        </is>
      </c>
    </row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A50" s="5" t="inlineStr">
        <is>
          <t>Skill Taxonomy</t>
        </is>
      </c>
    </row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>
      <c r="A71" s="5" t="inlineStr">
        <is>
          <t>Skill Inventory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cols>
    <col width="57" customWidth="1" min="1" max="1"/>
    <col width="10" customWidth="1" min="2" max="2"/>
    <col width="13" customWidth="1" min="3" max="3"/>
    <col width="13" customWidth="1" min="4" max="4"/>
    <col width="6" customWidth="1" min="5" max="5"/>
    <col width="6" customWidth="1" min="6" max="6"/>
    <col width="6" customWidth="1" min="7" max="7"/>
    <col width="6" customWidth="1" min="8" max="8"/>
  </cols>
  <sheetData>
    <row r="1">
      <c r="A1" s="1" t="inlineStr">
        <is>
          <t>Summary Statistics on Skills Gaps and Coping Mechanisms</t>
        </is>
      </c>
    </row>
    <row r="2"/>
    <row r="3">
      <c r="A3" s="5" t="inlineStr">
        <is>
          <t>Skills Gap Metrics</t>
        </is>
      </c>
    </row>
    <row r="4">
      <c r="A4" s="2">
        <f>""</f>
        <v/>
      </c>
      <c r="B4" s="2">
        <f>"(1)"</f>
        <v/>
      </c>
      <c r="C4" s="2">
        <f>"".1</f>
        <v/>
      </c>
      <c r="D4" s="2">
        <f>"".2</f>
        <v/>
      </c>
    </row>
    <row r="5">
      <c r="A5" s="4">
        <f>""</f>
        <v/>
      </c>
      <c r="B5" s="4">
        <f>""</f>
        <v/>
      </c>
      <c r="C5" s="4">
        <f>""</f>
        <v/>
      </c>
      <c r="D5" s="4">
        <f>""</f>
        <v/>
      </c>
    </row>
    <row r="6">
      <c r="A6" s="3">
        <f>""</f>
        <v/>
      </c>
      <c r="B6" s="3">
        <f>"count"</f>
        <v/>
      </c>
      <c r="C6" s="3">
        <f>"mean"</f>
        <v/>
      </c>
      <c r="D6" s="3">
        <f>"sd"</f>
        <v/>
      </c>
    </row>
    <row r="7">
      <c r="A7" s="4">
        <f>"sk_gap"</f>
        <v/>
      </c>
      <c r="B7" s="4">
        <f>"1209"</f>
        <v/>
      </c>
      <c r="C7" s="4">
        <f>".7468983"</f>
        <v/>
      </c>
      <c r="D7" s="4">
        <f>".4349687"</f>
        <v/>
      </c>
    </row>
    <row r="8">
      <c r="A8" s="3">
        <f>"sk_gap_severe"</f>
        <v/>
      </c>
      <c r="B8" s="3">
        <f>"1209"</f>
        <v/>
      </c>
      <c r="C8" s="3">
        <f>".2266336"</f>
        <v/>
      </c>
      <c r="D8" s="3">
        <f>".4188268"</f>
        <v/>
      </c>
    </row>
    <row r="9">
      <c r="A9" s="4">
        <f>"sk_gap_overall"</f>
        <v/>
      </c>
      <c r="B9" s="4">
        <f>"1209"</f>
        <v/>
      </c>
      <c r="C9" s="4">
        <f>".9735318"</f>
        <v/>
      </c>
      <c r="D9" s="4">
        <f>".6924098"</f>
        <v/>
      </c>
    </row>
    <row r="10">
      <c r="A10" s="3">
        <f>"sk_miss"</f>
        <v/>
      </c>
      <c r="B10" s="3">
        <f>"1209"</f>
        <v/>
      </c>
      <c r="C10" s="3">
        <f>"11.95037"</f>
        <v/>
      </c>
      <c r="D10" s="3">
        <f>"6.959499"</f>
        <v/>
      </c>
    </row>
    <row r="11">
      <c r="A11" s="4">
        <f>"sk_n_soft_leader"</f>
        <v/>
      </c>
      <c r="B11" s="4">
        <f>"903"</f>
        <v/>
      </c>
      <c r="C11" s="4">
        <f>".4950166"</f>
        <v/>
      </c>
      <c r="D11" s="4">
        <f>".5002522"</f>
        <v/>
      </c>
    </row>
    <row r="12">
      <c r="A12" s="3">
        <f>"sk_n_soft_adapt"</f>
        <v/>
      </c>
      <c r="B12" s="3">
        <f>"903"</f>
        <v/>
      </c>
      <c r="C12" s="3">
        <f>".4019934"</f>
        <v/>
      </c>
      <c r="D12" s="3">
        <f>".4905723"</f>
        <v/>
      </c>
    </row>
    <row r="13">
      <c r="A13" s="4">
        <f>"sk_n_man_comm"</f>
        <v/>
      </c>
      <c r="B13" s="4">
        <f>"903"</f>
        <v/>
      </c>
      <c r="C13" s="4">
        <f>".3986711"</f>
        <v/>
      </c>
      <c r="D13" s="4">
        <f>".4898961"</f>
        <v/>
      </c>
    </row>
    <row r="14">
      <c r="A14" s="3">
        <f>"sk_n_man_problemsolving"</f>
        <v/>
      </c>
      <c r="B14" s="3">
        <f>"903"</f>
        <v/>
      </c>
      <c r="C14" s="3">
        <f>".4462901"</f>
        <v/>
      </c>
      <c r="D14" s="3">
        <f>".4973824"</f>
        <v/>
      </c>
    </row>
    <row r="15">
      <c r="A15" s="4">
        <f>"sk_n_man_projectman"</f>
        <v/>
      </c>
      <c r="B15" s="4">
        <f>"903"</f>
        <v/>
      </c>
      <c r="C15" s="4">
        <f>".3133998"</f>
        <v/>
      </c>
      <c r="D15" s="4">
        <f>".4641324"</f>
        <v/>
      </c>
    </row>
    <row r="16">
      <c r="A16" s="3">
        <f>"sk_n_f_industry"</f>
        <v/>
      </c>
      <c r="B16" s="3">
        <f>"903"</f>
        <v/>
      </c>
      <c r="C16" s="3">
        <f>".3621262"</f>
        <v/>
      </c>
      <c r="D16" s="3">
        <f>".4808814"</f>
        <v/>
      </c>
    </row>
    <row r="17">
      <c r="A17" s="4">
        <f>"sk_n_f_customer"</f>
        <v/>
      </c>
      <c r="B17" s="4">
        <f>"903"</f>
        <v/>
      </c>
      <c r="C17" s="4">
        <f>".3277962"</f>
        <v/>
      </c>
      <c r="D17" s="4">
        <f>".4696703"</f>
        <v/>
      </c>
    </row>
    <row r="18">
      <c r="A18" s="3">
        <f>"sk_n_f_marketing"</f>
        <v/>
      </c>
      <c r="B18" s="3">
        <f>"903"</f>
        <v/>
      </c>
      <c r="C18" s="3">
        <f>".2624585"</f>
        <v/>
      </c>
      <c r="D18" s="3">
        <f>".4402143"</f>
        <v/>
      </c>
    </row>
    <row r="19">
      <c r="A19" s="4">
        <f>"sk_n_f_finance"</f>
        <v/>
      </c>
      <c r="B19" s="4">
        <f>"903"</f>
        <v/>
      </c>
      <c r="C19" s="4">
        <f>".2159468"</f>
        <v/>
      </c>
      <c r="D19" s="4">
        <f>".4117056"</f>
        <v/>
      </c>
    </row>
    <row r="20">
      <c r="A20" s="3">
        <f>"sk_n_f_hr"</f>
        <v/>
      </c>
      <c r="B20" s="3">
        <f>"903"</f>
        <v/>
      </c>
      <c r="C20" s="3">
        <f>".3488372"</f>
        <v/>
      </c>
      <c r="D20" s="3">
        <f>".4768665"</f>
        <v/>
      </c>
    </row>
    <row r="21">
      <c r="A21" s="4">
        <f>"sk_n_f_supplychain"</f>
        <v/>
      </c>
      <c r="B21" s="4">
        <f>"903"</f>
        <v/>
      </c>
      <c r="C21" s="4">
        <f>".158361"</f>
        <v/>
      </c>
      <c r="D21" s="4">
        <f>".3652815"</f>
        <v/>
      </c>
    </row>
    <row r="22">
      <c r="A22" s="3">
        <f>"sk_n_dig_basic"</f>
        <v/>
      </c>
      <c r="B22" s="3">
        <f>"903"</f>
        <v/>
      </c>
      <c r="C22" s="3">
        <f>".2812846"</f>
        <v/>
      </c>
      <c r="D22" s="3">
        <f>".4498752"</f>
        <v/>
      </c>
    </row>
    <row r="23">
      <c r="A23" s="4">
        <f>"sk_n_dig_advance"</f>
        <v/>
      </c>
      <c r="B23" s="4">
        <f>"903"</f>
        <v/>
      </c>
      <c r="C23" s="4">
        <f>".4994463"</f>
        <v/>
      </c>
      <c r="D23" s="4">
        <f>".5002768"</f>
        <v/>
      </c>
    </row>
    <row r="24">
      <c r="A24" s="3">
        <f>"sk_n_dig_prod"</f>
        <v/>
      </c>
      <c r="B24" s="3">
        <f>"903"</f>
        <v/>
      </c>
      <c r="C24" s="3">
        <f>".2879291"</f>
        <v/>
      </c>
      <c r="D24" s="3">
        <f>".4530488"</f>
        <v/>
      </c>
    </row>
    <row r="25">
      <c r="A25" s="4">
        <f>"sk_n_dig_data"</f>
        <v/>
      </c>
      <c r="B25" s="4">
        <f>"903"</f>
        <v/>
      </c>
      <c r="C25" s="4">
        <f>".4429679"</f>
        <v/>
      </c>
      <c r="D25" s="4">
        <f>".497012"</f>
        <v/>
      </c>
    </row>
    <row r="26">
      <c r="A26" s="3">
        <f>"sk_n_other"</f>
        <v/>
      </c>
      <c r="B26" s="3">
        <f>"903"</f>
        <v/>
      </c>
      <c r="C26" s="3">
        <f>".0110742"</f>
        <v/>
      </c>
      <c r="D26" s="3">
        <f>".1047077"</f>
        <v/>
      </c>
    </row>
    <row r="27">
      <c r="A27" s="4">
        <f>"sk_selected"</f>
        <v/>
      </c>
      <c r="B27" s="4">
        <f>"1209"</f>
        <v/>
      </c>
      <c r="C27" s="4">
        <f>"3.923904"</f>
        <v/>
      </c>
      <c r="D27" s="4">
        <f>"3.358911"</f>
        <v/>
      </c>
    </row>
    <row r="28">
      <c r="A28" s="3">
        <f>"sk_gap_med"</f>
        <v/>
      </c>
      <c r="B28" s="3">
        <f>"1209"</f>
        <v/>
      </c>
      <c r="C28" s="3">
        <f>".5202647"</f>
        <v/>
      </c>
      <c r="D28" s="3">
        <f>".4997959"</f>
        <v/>
      </c>
    </row>
    <row r="29">
      <c r="A29" s="4">
        <f>"sk_gap_sev"</f>
        <v/>
      </c>
      <c r="B29" s="4">
        <f>"1209"</f>
        <v/>
      </c>
      <c r="C29" s="4">
        <f>".2266336"</f>
        <v/>
      </c>
      <c r="D29" s="4">
        <f>".4188268"</f>
        <v/>
      </c>
    </row>
    <row r="30">
      <c r="A30" s="3">
        <f>"sk_n_soft_leader"</f>
        <v/>
      </c>
      <c r="B30" s="3">
        <f>"903"</f>
        <v/>
      </c>
      <c r="C30" s="3">
        <f>".4950166"</f>
        <v/>
      </c>
      <c r="D30" s="3">
        <f>".5002522"</f>
        <v/>
      </c>
    </row>
    <row r="31">
      <c r="A31" s="4">
        <f>"sk_n_soft_adapt"</f>
        <v/>
      </c>
      <c r="B31" s="4">
        <f>"903"</f>
        <v/>
      </c>
      <c r="C31" s="4">
        <f>".4019934"</f>
        <v/>
      </c>
      <c r="D31" s="4">
        <f>".4905723"</f>
        <v/>
      </c>
    </row>
    <row r="32">
      <c r="A32" s="3">
        <f>"sk_n_man_comm"</f>
        <v/>
      </c>
      <c r="B32" s="3">
        <f>"903"</f>
        <v/>
      </c>
      <c r="C32" s="3">
        <f>".3986711"</f>
        <v/>
      </c>
      <c r="D32" s="3">
        <f>".4898961"</f>
        <v/>
      </c>
    </row>
    <row r="33">
      <c r="A33" s="4">
        <f>"sk_n_man_problemsolving"</f>
        <v/>
      </c>
      <c r="B33" s="4">
        <f>"903"</f>
        <v/>
      </c>
      <c r="C33" s="4">
        <f>".4462901"</f>
        <v/>
      </c>
      <c r="D33" s="4">
        <f>".4973824"</f>
        <v/>
      </c>
    </row>
    <row r="34">
      <c r="A34" s="3">
        <f>"sk_n_man_projectman"</f>
        <v/>
      </c>
      <c r="B34" s="3">
        <f>"903"</f>
        <v/>
      </c>
      <c r="C34" s="3">
        <f>".3133998"</f>
        <v/>
      </c>
      <c r="D34" s="3">
        <f>".4641324"</f>
        <v/>
      </c>
    </row>
    <row r="35">
      <c r="A35" s="4">
        <f>"sk_n_f_industry"</f>
        <v/>
      </c>
      <c r="B35" s="4">
        <f>"903"</f>
        <v/>
      </c>
      <c r="C35" s="4">
        <f>".3621262"</f>
        <v/>
      </c>
      <c r="D35" s="4">
        <f>".4808814"</f>
        <v/>
      </c>
    </row>
    <row r="36">
      <c r="A36" s="3">
        <f>"sk_n_f_customer"</f>
        <v/>
      </c>
      <c r="B36" s="3">
        <f>"903"</f>
        <v/>
      </c>
      <c r="C36" s="3">
        <f>".3277962"</f>
        <v/>
      </c>
      <c r="D36" s="3">
        <f>".4696703"</f>
        <v/>
      </c>
    </row>
    <row r="37">
      <c r="A37" s="4">
        <f>"sk_n_f_marketing"</f>
        <v/>
      </c>
      <c r="B37" s="4">
        <f>"903"</f>
        <v/>
      </c>
      <c r="C37" s="4">
        <f>".2624585"</f>
        <v/>
      </c>
      <c r="D37" s="4">
        <f>".4402143"</f>
        <v/>
      </c>
    </row>
    <row r="38">
      <c r="A38" s="3">
        <f>"sk_n_f_finance"</f>
        <v/>
      </c>
      <c r="B38" s="3">
        <f>"903"</f>
        <v/>
      </c>
      <c r="C38" s="3">
        <f>".2159468"</f>
        <v/>
      </c>
      <c r="D38" s="3">
        <f>".4117056"</f>
        <v/>
      </c>
    </row>
    <row r="39">
      <c r="A39" s="4">
        <f>"sk_n_f_hr"</f>
        <v/>
      </c>
      <c r="B39" s="4">
        <f>"903"</f>
        <v/>
      </c>
      <c r="C39" s="4">
        <f>".3488372"</f>
        <v/>
      </c>
      <c r="D39" s="4">
        <f>".4768665"</f>
        <v/>
      </c>
    </row>
    <row r="40">
      <c r="A40" s="3">
        <f>"sk_n_f_supplychain"</f>
        <v/>
      </c>
      <c r="B40" s="3">
        <f>"903"</f>
        <v/>
      </c>
      <c r="C40" s="3">
        <f>".158361"</f>
        <v/>
      </c>
      <c r="D40" s="3">
        <f>".3652815"</f>
        <v/>
      </c>
    </row>
    <row r="41">
      <c r="A41" s="4">
        <f>"sk_n_dig_basic"</f>
        <v/>
      </c>
      <c r="B41" s="4">
        <f>"903"</f>
        <v/>
      </c>
      <c r="C41" s="4">
        <f>".2812846"</f>
        <v/>
      </c>
      <c r="D41" s="4">
        <f>".4498752"</f>
        <v/>
      </c>
    </row>
    <row r="42">
      <c r="A42" s="3">
        <f>"sk_n_dig_advance"</f>
        <v/>
      </c>
      <c r="B42" s="3">
        <f>"903"</f>
        <v/>
      </c>
      <c r="C42" s="3">
        <f>".4994463"</f>
        <v/>
      </c>
      <c r="D42" s="3">
        <f>".5002768"</f>
        <v/>
      </c>
    </row>
    <row r="43">
      <c r="A43" s="4">
        <f>"sk_n_dig_prod"</f>
        <v/>
      </c>
      <c r="B43" s="4">
        <f>"903"</f>
        <v/>
      </c>
      <c r="C43" s="4">
        <f>".2879291"</f>
        <v/>
      </c>
      <c r="D43" s="4">
        <f>".4530488"</f>
        <v/>
      </c>
    </row>
    <row r="44">
      <c r="A44" s="3">
        <f>"sk_n_dig_data"</f>
        <v/>
      </c>
      <c r="B44" s="3">
        <f>"903"</f>
        <v/>
      </c>
      <c r="C44" s="3">
        <f>".4429679"</f>
        <v/>
      </c>
      <c r="D44" s="3">
        <f>".497012"</f>
        <v/>
      </c>
    </row>
    <row r="45">
      <c r="A45" s="4">
        <f>"sk_n_other"</f>
        <v/>
      </c>
      <c r="B45" s="4">
        <f>"903"</f>
        <v/>
      </c>
      <c r="C45" s="4">
        <f>".0110742"</f>
        <v/>
      </c>
      <c r="D45" s="4">
        <f>".1047077"</f>
        <v/>
      </c>
    </row>
    <row r="46">
      <c r="A46" s="3">
        <f>"tr_sk_n_soft_leader"</f>
        <v/>
      </c>
      <c r="B46" s="3">
        <f>"1199"</f>
        <v/>
      </c>
      <c r="C46" s="3">
        <f>".4470392"</f>
        <v/>
      </c>
      <c r="D46" s="3">
        <f>".4973947"</f>
        <v/>
      </c>
    </row>
    <row r="47">
      <c r="A47" s="4">
        <f>"tr_sk_n_soft_adapt"</f>
        <v/>
      </c>
      <c r="B47" s="4">
        <f>"1199"</f>
        <v/>
      </c>
      <c r="C47" s="4">
        <f>".3302752"</f>
        <v/>
      </c>
      <c r="D47" s="4">
        <f>".4705084"</f>
        <v/>
      </c>
    </row>
    <row r="48">
      <c r="A48" s="3">
        <f>"tr_sk_n_man_comm"</f>
        <v/>
      </c>
      <c r="B48" s="3">
        <f>"1199"</f>
        <v/>
      </c>
      <c r="C48" s="3">
        <f>".4070058"</f>
        <v/>
      </c>
      <c r="D48" s="3">
        <f>".491481"</f>
        <v/>
      </c>
    </row>
    <row r="49">
      <c r="A49" s="4">
        <f>"tr_sk_n_man_problemsolving"</f>
        <v/>
      </c>
      <c r="B49" s="4">
        <f>"1199"</f>
        <v/>
      </c>
      <c r="C49" s="4">
        <f>".4445371"</f>
        <v/>
      </c>
      <c r="D49" s="4">
        <f>".4971217"</f>
        <v/>
      </c>
    </row>
    <row r="50">
      <c r="A50" s="3">
        <f>"tr_sk_n_man_projectman"</f>
        <v/>
      </c>
      <c r="B50" s="3">
        <f>"1199"</f>
        <v/>
      </c>
      <c r="C50" s="3">
        <f>".2802335"</f>
        <v/>
      </c>
      <c r="D50" s="3">
        <f>".4493006"</f>
        <v/>
      </c>
    </row>
    <row r="51">
      <c r="A51" s="4">
        <f>"tr_sk_n_f_industry"</f>
        <v/>
      </c>
      <c r="B51" s="4">
        <f>"1199"</f>
        <v/>
      </c>
      <c r="C51" s="4">
        <f>".2852377"</f>
        <v/>
      </c>
      <c r="D51" s="4">
        <f>".451716"</f>
        <v/>
      </c>
    </row>
    <row r="52">
      <c r="A52" s="3">
        <f>"tr_sk_n_f_customer"</f>
        <v/>
      </c>
      <c r="B52" s="3">
        <f>"1199"</f>
        <v/>
      </c>
      <c r="C52" s="3">
        <f>".3344454"</f>
        <v/>
      </c>
      <c r="D52" s="3">
        <f>".4719931"</f>
        <v/>
      </c>
    </row>
    <row r="53">
      <c r="A53" s="4">
        <f>"tr_sk_n_f_marketing"</f>
        <v/>
      </c>
      <c r="B53" s="4">
        <f>"1199"</f>
        <v/>
      </c>
      <c r="C53" s="4">
        <f>".2543786"</f>
        <v/>
      </c>
      <c r="D53" s="4">
        <f>".4356931"</f>
        <v/>
      </c>
    </row>
    <row r="54">
      <c r="A54" s="3">
        <f>"tr_sk_n_f_finance"</f>
        <v/>
      </c>
      <c r="B54" s="3">
        <f>"1199"</f>
        <v/>
      </c>
      <c r="C54" s="3">
        <f>".2185154"</f>
        <v/>
      </c>
      <c r="D54" s="3">
        <f>".4134114"</f>
        <v/>
      </c>
    </row>
    <row r="55">
      <c r="A55" s="4">
        <f>"tr_sk_n_f_hr"</f>
        <v/>
      </c>
      <c r="B55" s="4">
        <f>"1199"</f>
        <v/>
      </c>
      <c r="C55" s="4">
        <f>".2793995"</f>
        <v/>
      </c>
      <c r="D55" s="4">
        <f>".4488914"</f>
        <v/>
      </c>
    </row>
    <row r="56">
      <c r="A56" s="3">
        <f>"tr_sk_n_f_supplychain"</f>
        <v/>
      </c>
      <c r="B56" s="3">
        <f>"1199"</f>
        <v/>
      </c>
      <c r="C56" s="3">
        <f>".1259383"</f>
        <v/>
      </c>
      <c r="D56" s="3">
        <f>".3319182"</f>
        <v/>
      </c>
    </row>
    <row r="57">
      <c r="A57" s="4">
        <f>"tr_sk_n_dig_basic"</f>
        <v/>
      </c>
      <c r="B57" s="4">
        <f>"1199"</f>
        <v/>
      </c>
      <c r="C57" s="4">
        <f>".3019183"</f>
        <v/>
      </c>
      <c r="D57" s="4">
        <f>".4592816"</f>
        <v/>
      </c>
    </row>
    <row r="58">
      <c r="A58" s="3">
        <f>"tr_sk_n_dig_advance"</f>
        <v/>
      </c>
      <c r="B58" s="3">
        <f>"1199"</f>
        <v/>
      </c>
      <c r="C58" s="3">
        <f>".4028357"</f>
        <v/>
      </c>
      <c r="D58" s="3">
        <f>".4906729"</f>
        <v/>
      </c>
    </row>
    <row r="59">
      <c r="A59" s="4">
        <f>"tr_sk_n_dig_prod"</f>
        <v/>
      </c>
      <c r="B59" s="4">
        <f>"1199"</f>
        <v/>
      </c>
      <c r="C59" s="4">
        <f>".2852377"</f>
        <v/>
      </c>
      <c r="D59" s="4">
        <f>".451716"</f>
        <v/>
      </c>
    </row>
    <row r="60">
      <c r="A60" s="3">
        <f>"tr_sk_n_dig_data"</f>
        <v/>
      </c>
      <c r="B60" s="3">
        <f>"1199"</f>
        <v/>
      </c>
      <c r="C60" s="3">
        <f>".440367"</f>
        <v/>
      </c>
      <c r="D60" s="3">
        <f>".4966383"</f>
        <v/>
      </c>
    </row>
    <row r="61">
      <c r="A61" s="4">
        <f>"tr_sk_n_career"</f>
        <v/>
      </c>
      <c r="B61" s="4">
        <f>"1199"</f>
        <v/>
      </c>
      <c r="C61" s="4">
        <f>".0733945"</f>
        <v/>
      </c>
      <c r="D61" s="4">
        <f>".2608918"</f>
        <v/>
      </c>
    </row>
    <row r="62">
      <c r="A62" s="3">
        <f>"tr_sk_n_other"</f>
        <v/>
      </c>
      <c r="B62" s="3">
        <f>"1199"</f>
        <v/>
      </c>
      <c r="C62" s="3">
        <f>".0025021"</f>
        <v/>
      </c>
      <c r="D62" s="3">
        <f>".0499791"</f>
        <v/>
      </c>
    </row>
    <row r="63">
      <c r="A63" s="4">
        <f>"N"</f>
        <v/>
      </c>
      <c r="B63" s="4">
        <f>"1209"</f>
        <v/>
      </c>
      <c r="C63" s="4">
        <f>""</f>
        <v/>
      </c>
      <c r="D63" s="4">
        <f>""</f>
        <v/>
      </c>
    </row>
    <row r="64"/>
    <row r="65"/>
    <row r="66">
      <c r="A66" s="5" t="inlineStr">
        <is>
          <t>Skills Gap Visualizations</t>
        </is>
      </c>
    </row>
    <row r="67">
      <c r="A67" s="5" t="inlineStr">
        <is>
          <t>Severity of Skills Gap</t>
        </is>
      </c>
    </row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>
      <c r="A88" s="5" t="inlineStr">
        <is>
          <t>Skills Most Needed</t>
        </is>
      </c>
    </row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>
      <c r="A109" s="5" t="inlineStr">
        <is>
          <t>Skills by Organization Type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57" customWidth="1" min="1" max="1"/>
    <col width="12" customWidth="1" min="2" max="2"/>
    <col width="13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</cols>
  <sheetData>
    <row r="1">
      <c r="A1" s="1" t="inlineStr">
        <is>
          <t>Fraction of Generic Training, Upskilling and Reskilling</t>
        </is>
      </c>
    </row>
    <row r="2"/>
    <row r="3">
      <c r="A3" s="5" t="inlineStr">
        <is>
          <t>Training Type Distribution</t>
        </is>
      </c>
    </row>
    <row r="4">
      <c r="A4" s="2">
        <f>""</f>
        <v/>
      </c>
      <c r="B4" s="2">
        <f>"(1)"</f>
        <v/>
      </c>
      <c r="C4" s="2">
        <f>"".1</f>
        <v/>
      </c>
    </row>
    <row r="5">
      <c r="A5" s="4">
        <f>""</f>
        <v/>
      </c>
      <c r="B5" s="4">
        <f>"program"</f>
        <v/>
      </c>
      <c r="C5" s="4">
        <f>""</f>
        <v/>
      </c>
    </row>
    <row r="6">
      <c r="A6" s="3">
        <f>""</f>
        <v/>
      </c>
      <c r="B6" s="3">
        <f>"freq"</f>
        <v/>
      </c>
      <c r="C6" s="3">
        <f>"pct"</f>
        <v/>
      </c>
    </row>
    <row r="7">
      <c r="A7" s="4">
        <f>"General Training"</f>
        <v/>
      </c>
      <c r="B7" s="4">
        <f>""</f>
        <v/>
      </c>
      <c r="C7" s="4">
        <f>"5.955335"</f>
        <v/>
      </c>
    </row>
    <row r="8">
      <c r="A8" s="3">
        <f>"Upskilling"</f>
        <v/>
      </c>
      <c r="B8" s="3">
        <f>""</f>
        <v/>
      </c>
      <c r="C8" s="3">
        <f>"38.37883"</f>
        <v/>
      </c>
    </row>
    <row r="9">
      <c r="A9" s="4">
        <f>"Reskilling"</f>
        <v/>
      </c>
      <c r="B9" s="4">
        <f>""</f>
        <v/>
      </c>
      <c r="C9" s="4">
        <f>"55.66584"</f>
        <v/>
      </c>
    </row>
    <row r="10">
      <c r="A10" s="3">
        <f>"Total"</f>
        <v/>
      </c>
      <c r="B10" s="3">
        <f>""</f>
        <v/>
      </c>
      <c r="C10" s="3">
        <f>"100"</f>
        <v/>
      </c>
    </row>
    <row r="11">
      <c r="A11" s="4">
        <f>"N"</f>
        <v/>
      </c>
      <c r="B11" s="4">
        <f>"1209"</f>
        <v/>
      </c>
      <c r="C11" s="4">
        <f>""</f>
        <v/>
      </c>
    </row>
    <row r="12"/>
    <row r="13"/>
    <row r="14">
      <c r="A14" s="5" t="inlineStr">
        <is>
          <t>Training Type Visualizations</t>
        </is>
      </c>
    </row>
    <row r="15">
      <c r="A15" s="5" t="inlineStr">
        <is>
          <t>Training Program Distribution (Bar)</t>
        </is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>
      <c r="A36" s="5" t="inlineStr">
        <is>
          <t>Training Program Distribution (Pie)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6" customWidth="1" min="5" max="5"/>
    <col width="6" customWidth="1" min="6" max="6"/>
    <col width="6" customWidth="1" min="7" max="7"/>
    <col width="6" customWidth="1" min="8" max="8"/>
  </cols>
  <sheetData>
    <row r="1">
      <c r="A1" s="1" t="inlineStr">
        <is>
          <t>Summary Statistics of Program Characteristics</t>
        </is>
      </c>
    </row>
    <row r="2"/>
    <row r="3">
      <c r="A3" s="5" t="inlineStr">
        <is>
          <t>Program Characteristics (All Programs)</t>
        </is>
      </c>
    </row>
    <row r="4">
      <c r="A4" s="2">
        <f>""</f>
        <v/>
      </c>
      <c r="B4" s="2">
        <f>"(1)"</f>
        <v/>
      </c>
      <c r="C4" s="2">
        <f>"".1</f>
        <v/>
      </c>
      <c r="D4" s="2">
        <f>"".2</f>
        <v/>
      </c>
    </row>
    <row r="5">
      <c r="A5" s="4">
        <f>""</f>
        <v/>
      </c>
      <c r="B5" s="4">
        <f>""</f>
        <v/>
      </c>
      <c r="C5" s="4">
        <f>""</f>
        <v/>
      </c>
      <c r="D5" s="4">
        <f>""</f>
        <v/>
      </c>
    </row>
    <row r="6">
      <c r="A6" s="3">
        <f>""</f>
        <v/>
      </c>
      <c r="B6" s="3">
        <f>"count"</f>
        <v/>
      </c>
      <c r="C6" s="3">
        <f>"mean"</f>
        <v/>
      </c>
      <c r="D6" s="3">
        <f>"sd"</f>
        <v/>
      </c>
    </row>
    <row r="7">
      <c r="A7" s="4">
        <f>"p_participated"</f>
        <v/>
      </c>
      <c r="B7" s="4">
        <f>"1127"</f>
        <v/>
      </c>
      <c r="C7" s="4">
        <f>"3.07"</f>
        <v/>
      </c>
      <c r="D7" s="4">
        <f>"1.27"</f>
        <v/>
      </c>
    </row>
    <row r="8">
      <c r="A8" s="3">
        <f>"p_participated_2023"</f>
        <v/>
      </c>
      <c r="B8" s="3">
        <f>"1127"</f>
        <v/>
      </c>
      <c r="C8" s="3">
        <f>"3.61"</f>
        <v/>
      </c>
      <c r="D8" s="3">
        <f>"1.31"</f>
        <v/>
      </c>
    </row>
    <row r="9">
      <c r="A9" s="4">
        <f>"p_duration"</f>
        <v/>
      </c>
      <c r="B9" s="4">
        <f>"1127"</f>
        <v/>
      </c>
      <c r="C9" s="4">
        <f>"2.31"</f>
        <v/>
      </c>
      <c r="D9" s="4">
        <f>"0.70"</f>
        <v/>
      </c>
    </row>
    <row r="10">
      <c r="A10" s="3">
        <f>"p_hourstrained"</f>
        <v/>
      </c>
      <c r="B10" s="3">
        <f>"1127"</f>
        <v/>
      </c>
      <c r="C10" s="3">
        <f>"3.41"</f>
        <v/>
      </c>
      <c r="D10" s="3">
        <f>"1.16"</f>
        <v/>
      </c>
    </row>
    <row r="11">
      <c r="A11" s="4">
        <f>"p_cost"</f>
        <v/>
      </c>
      <c r="B11" s="4">
        <f>"1127"</f>
        <v/>
      </c>
      <c r="C11" s="4">
        <f>"2.50"</f>
        <v/>
      </c>
      <c r="D11" s="4">
        <f>"0.94"</f>
        <v/>
      </c>
    </row>
    <row r="12">
      <c r="A12" s="3">
        <f>"p_eligibility"</f>
        <v/>
      </c>
      <c r="B12" s="3">
        <f>"1209"</f>
        <v/>
      </c>
      <c r="C12" s="3">
        <f>"60.99"</f>
        <v/>
      </c>
      <c r="D12" s="3">
        <f>"21.68"</f>
        <v/>
      </c>
    </row>
    <row r="13">
      <c r="A13" s="4">
        <f>"p_part_exp"</f>
        <v/>
      </c>
      <c r="B13" s="4">
        <f>"1209"</f>
        <v/>
      </c>
      <c r="C13" s="4">
        <f>"65.62"</f>
        <v/>
      </c>
      <c r="D13" s="4">
        <f>"23.34"</f>
        <v/>
      </c>
    </row>
    <row r="14">
      <c r="A14" s="3">
        <f>"p_fund_org"</f>
        <v/>
      </c>
      <c r="B14" s="3">
        <f>"1095"</f>
        <v/>
      </c>
      <c r="C14" s="3">
        <f>"57.24"</f>
        <v/>
      </c>
      <c r="D14" s="3">
        <f>"33.95"</f>
        <v/>
      </c>
    </row>
    <row r="15">
      <c r="A15" s="4">
        <f>"p_fund_gov"</f>
        <v/>
      </c>
      <c r="B15" s="4">
        <f>"1095"</f>
        <v/>
      </c>
      <c r="C15" s="4">
        <f>"13.94"</f>
        <v/>
      </c>
      <c r="D15" s="4">
        <f>"14.88"</f>
        <v/>
      </c>
    </row>
    <row r="16">
      <c r="A16" s="3">
        <f>"p_ongoing"</f>
        <v/>
      </c>
      <c r="B16" s="3">
        <f>"1209"</f>
        <v/>
      </c>
      <c r="C16" s="3">
        <f>"0.47"</f>
        <v/>
      </c>
      <c r="D16" s="3">
        <f>"0.50"</f>
        <v/>
      </c>
    </row>
    <row r="17">
      <c r="A17" s="4">
        <f>"p_mandavolunt"</f>
        <v/>
      </c>
      <c r="B17" s="4">
        <f>"1127"</f>
        <v/>
      </c>
      <c r="C17" s="4">
        <f>"1.61"</f>
        <v/>
      </c>
      <c r="D17" s="4">
        <f>"0.49"</f>
        <v/>
      </c>
    </row>
    <row r="18">
      <c r="A18" s="3">
        <f>"p_otjactivities"</f>
        <v/>
      </c>
      <c r="B18" s="3">
        <f>"1127"</f>
        <v/>
      </c>
      <c r="C18" s="3">
        <f>"1.09"</f>
        <v/>
      </c>
      <c r="D18" s="3">
        <f>"0.28"</f>
        <v/>
      </c>
    </row>
    <row r="19">
      <c r="A19" s="4">
        <f>"p_targetemp_c"</f>
        <v/>
      </c>
      <c r="B19" s="4">
        <f>"1127"</f>
        <v/>
      </c>
      <c r="C19" s="4">
        <f>"0.21"</f>
        <v/>
      </c>
      <c r="D19" s="4">
        <f>"0.41"</f>
        <v/>
      </c>
    </row>
    <row r="20">
      <c r="A20" s="3">
        <f>"p_targetemp_emp"</f>
        <v/>
      </c>
      <c r="B20" s="3">
        <f>"1127"</f>
        <v/>
      </c>
      <c r="C20" s="3">
        <f>"0.65"</f>
        <v/>
      </c>
      <c r="D20" s="3">
        <f>"0.48"</f>
        <v/>
      </c>
    </row>
    <row r="21">
      <c r="A21" s="4">
        <f>"N"</f>
        <v/>
      </c>
      <c r="B21" s="4">
        <f>"1209"</f>
        <v/>
      </c>
      <c r="C21" s="4">
        <f>""</f>
        <v/>
      </c>
      <c r="D21" s="4">
        <f>""</f>
        <v/>
      </c>
    </row>
    <row r="22"/>
    <row r="23">
      <c r="A23" s="5" t="inlineStr">
        <is>
          <t>Program Characteristics by Type (Upskilling vs Reskilling)</t>
        </is>
      </c>
    </row>
    <row r="24">
      <c r="A24" s="2">
        <f>""</f>
        <v/>
      </c>
      <c r="B24" s="2">
        <f>"(1)"</f>
        <v/>
      </c>
      <c r="C24" s="2">
        <f>"".1</f>
        <v/>
      </c>
    </row>
    <row r="25">
      <c r="A25" s="4">
        <f>""</f>
        <v/>
      </c>
      <c r="B25" s="4">
        <f>""</f>
        <v/>
      </c>
      <c r="C25" s="4">
        <f>""</f>
        <v/>
      </c>
    </row>
    <row r="26">
      <c r="A26" s="3">
        <f>""</f>
        <v/>
      </c>
      <c r="B26" s="3">
        <f>"mean"</f>
        <v/>
      </c>
      <c r="C26" s="3">
        <f>"sd"</f>
        <v/>
      </c>
    </row>
    <row r="27">
      <c r="A27" s="4">
        <f>"General Training"</f>
        <v/>
      </c>
      <c r="B27" s="4">
        <f>""</f>
        <v/>
      </c>
      <c r="C27" s="4">
        <f>""</f>
        <v/>
      </c>
    </row>
    <row r="28">
      <c r="A28" s="3">
        <f>"p_participated"</f>
        <v/>
      </c>
      <c r="B28" s="3">
        <f>"."</f>
        <v/>
      </c>
      <c r="C28" s="3">
        <f>"."</f>
        <v/>
      </c>
    </row>
    <row r="29">
      <c r="A29" s="4">
        <f>"p_participated_2023"</f>
        <v/>
      </c>
      <c r="B29" s="4">
        <f>"."</f>
        <v/>
      </c>
      <c r="C29" s="4">
        <f>"."</f>
        <v/>
      </c>
    </row>
    <row r="30">
      <c r="A30" s="3">
        <f>"p_duration"</f>
        <v/>
      </c>
      <c r="B30" s="3">
        <f>"."</f>
        <v/>
      </c>
      <c r="C30" s="3">
        <f>"."</f>
        <v/>
      </c>
    </row>
    <row r="31">
      <c r="A31" s="4">
        <f>"p_hourstrained"</f>
        <v/>
      </c>
      <c r="B31" s="4">
        <f>"."</f>
        <v/>
      </c>
      <c r="C31" s="4">
        <f>"."</f>
        <v/>
      </c>
    </row>
    <row r="32">
      <c r="A32" s="3">
        <f>"p_cost"</f>
        <v/>
      </c>
      <c r="B32" s="3">
        <f>"."</f>
        <v/>
      </c>
      <c r="C32" s="3">
        <f>"."</f>
        <v/>
      </c>
    </row>
    <row r="33">
      <c r="A33" s="4">
        <f>"p_eligibility"</f>
        <v/>
      </c>
      <c r="B33" s="4">
        <f>"66.58"</f>
        <v/>
      </c>
      <c r="C33" s="4">
        <f>"21.62"</f>
        <v/>
      </c>
    </row>
    <row r="34">
      <c r="A34" s="3">
        <f>"p_part_exp"</f>
        <v/>
      </c>
      <c r="B34" s="3">
        <f>"71.25"</f>
        <v/>
      </c>
      <c r="C34" s="3">
        <f>"21.18"</f>
        <v/>
      </c>
    </row>
    <row r="35">
      <c r="A35" s="4">
        <f>"p_fund_org"</f>
        <v/>
      </c>
      <c r="B35" s="4">
        <f>"."</f>
        <v/>
      </c>
      <c r="C35" s="4">
        <f>"."</f>
        <v/>
      </c>
    </row>
    <row r="36">
      <c r="A36" s="3">
        <f>"p_fund_gov"</f>
        <v/>
      </c>
      <c r="B36" s="3">
        <f>"."</f>
        <v/>
      </c>
      <c r="C36" s="3">
        <f>"."</f>
        <v/>
      </c>
    </row>
    <row r="37">
      <c r="A37" s="4">
        <f>"p_ongoing"</f>
        <v/>
      </c>
      <c r="B37" s="4">
        <f>"0.00"</f>
        <v/>
      </c>
      <c r="C37" s="4">
        <f>"0.00"</f>
        <v/>
      </c>
    </row>
    <row r="38">
      <c r="A38" s="3">
        <f>"p_mandavolunt"</f>
        <v/>
      </c>
      <c r="B38" s="3">
        <f>"."</f>
        <v/>
      </c>
      <c r="C38" s="3">
        <f>"."</f>
        <v/>
      </c>
    </row>
    <row r="39">
      <c r="A39" s="4">
        <f>"p_otjactivities"</f>
        <v/>
      </c>
      <c r="B39" s="4">
        <f>"."</f>
        <v/>
      </c>
      <c r="C39" s="4">
        <f>"."</f>
        <v/>
      </c>
    </row>
    <row r="40">
      <c r="A40" s="3">
        <f>"p_targetemp_c"</f>
        <v/>
      </c>
      <c r="B40" s="3">
        <f>"."</f>
        <v/>
      </c>
      <c r="C40" s="3">
        <f>"."</f>
        <v/>
      </c>
    </row>
    <row r="41">
      <c r="A41" s="4">
        <f>"p_targetemp_emp"</f>
        <v/>
      </c>
      <c r="B41" s="4">
        <f>"."</f>
        <v/>
      </c>
      <c r="C41" s="4">
        <f>"."</f>
        <v/>
      </c>
    </row>
    <row r="42">
      <c r="A42" s="3">
        <f>"Upskilling"</f>
        <v/>
      </c>
      <c r="B42" s="3">
        <f>""</f>
        <v/>
      </c>
      <c r="C42" s="3">
        <f>""</f>
        <v/>
      </c>
    </row>
    <row r="43">
      <c r="A43" s="4">
        <f>"p_participated"</f>
        <v/>
      </c>
      <c r="B43" s="4">
        <f>"3.06"</f>
        <v/>
      </c>
      <c r="C43" s="4">
        <f>"1.29"</f>
        <v/>
      </c>
    </row>
    <row r="44">
      <c r="A44" s="3">
        <f>"p_participated_2023"</f>
        <v/>
      </c>
      <c r="B44" s="3">
        <f>"3.55"</f>
        <v/>
      </c>
      <c r="C44" s="3">
        <f>"1.26"</f>
        <v/>
      </c>
    </row>
    <row r="45">
      <c r="A45" s="4">
        <f>"p_duration"</f>
        <v/>
      </c>
      <c r="B45" s="4">
        <f>"2.23"</f>
        <v/>
      </c>
      <c r="C45" s="4">
        <f>"0.67"</f>
        <v/>
      </c>
    </row>
    <row r="46">
      <c r="A46" s="3">
        <f>"p_hourstrained"</f>
        <v/>
      </c>
      <c r="B46" s="3">
        <f>"3.16"</f>
        <v/>
      </c>
      <c r="C46" s="3">
        <f>"1.07"</f>
        <v/>
      </c>
    </row>
    <row r="47">
      <c r="A47" s="4">
        <f>"p_cost"</f>
        <v/>
      </c>
      <c r="B47" s="4">
        <f>"2.43"</f>
        <v/>
      </c>
      <c r="C47" s="4">
        <f>"0.95"</f>
        <v/>
      </c>
    </row>
    <row r="48">
      <c r="A48" s="3">
        <f>"p_eligibility"</f>
        <v/>
      </c>
      <c r="B48" s="3">
        <f>"59.39"</f>
        <v/>
      </c>
      <c r="C48" s="3">
        <f>"21.03"</f>
        <v/>
      </c>
    </row>
    <row r="49">
      <c r="A49" s="4">
        <f>"p_part_exp"</f>
        <v/>
      </c>
      <c r="B49" s="4">
        <f>"63.48"</f>
        <v/>
      </c>
      <c r="C49" s="4">
        <f>"22.68"</f>
        <v/>
      </c>
    </row>
    <row r="50">
      <c r="A50" s="3">
        <f>"p_fund_org"</f>
        <v/>
      </c>
      <c r="B50" s="3">
        <f>"60.14"</f>
        <v/>
      </c>
      <c r="C50" s="3">
        <f>"35.29"</f>
        <v/>
      </c>
    </row>
    <row r="51">
      <c r="A51" s="4">
        <f>"p_fund_gov"</f>
        <v/>
      </c>
      <c r="B51" s="4">
        <f>"13.46"</f>
        <v/>
      </c>
      <c r="C51" s="4">
        <f>"16.14"</f>
        <v/>
      </c>
    </row>
    <row r="52">
      <c r="A52" s="3">
        <f>"p_ongoing"</f>
        <v/>
      </c>
      <c r="B52" s="3">
        <f>"0.50"</f>
        <v/>
      </c>
      <c r="C52" s="3">
        <f>"0.50"</f>
        <v/>
      </c>
    </row>
    <row r="53">
      <c r="A53" s="4">
        <f>"p_mandavolunt"</f>
        <v/>
      </c>
      <c r="B53" s="4">
        <f>"1.55"</f>
        <v/>
      </c>
      <c r="C53" s="4">
        <f>"0.50"</f>
        <v/>
      </c>
    </row>
    <row r="54">
      <c r="A54" s="3">
        <f>"p_otjactivities"</f>
        <v/>
      </c>
      <c r="B54" s="3">
        <f>"1.10"</f>
        <v/>
      </c>
      <c r="C54" s="3">
        <f>"0.30"</f>
        <v/>
      </c>
    </row>
    <row r="55">
      <c r="A55" s="4">
        <f>"p_targetemp_c"</f>
        <v/>
      </c>
      <c r="B55" s="4">
        <f>"0.17"</f>
        <v/>
      </c>
      <c r="C55" s="4">
        <f>"0.38"</f>
        <v/>
      </c>
    </row>
    <row r="56">
      <c r="A56" s="3">
        <f>"p_targetemp_emp"</f>
        <v/>
      </c>
      <c r="B56" s="3">
        <f>"0.64"</f>
        <v/>
      </c>
      <c r="C56" s="3">
        <f>"0.48"</f>
        <v/>
      </c>
    </row>
    <row r="57">
      <c r="A57" s="4">
        <f>"Reskilling"</f>
        <v/>
      </c>
      <c r="B57" s="4">
        <f>""</f>
        <v/>
      </c>
      <c r="C57" s="4">
        <f>""</f>
        <v/>
      </c>
    </row>
    <row r="58">
      <c r="A58" s="3">
        <f>"p_participated"</f>
        <v/>
      </c>
      <c r="B58" s="3">
        <f>"3.07"</f>
        <v/>
      </c>
      <c r="C58" s="3">
        <f>"1.26"</f>
        <v/>
      </c>
    </row>
    <row r="59">
      <c r="A59" s="4">
        <f>"p_participated_2023"</f>
        <v/>
      </c>
      <c r="B59" s="4">
        <f>"3.65"</f>
        <v/>
      </c>
      <c r="C59" s="4">
        <f>"1.34"</f>
        <v/>
      </c>
    </row>
    <row r="60">
      <c r="A60" s="3">
        <f>"p_duration"</f>
        <v/>
      </c>
      <c r="B60" s="3">
        <f>"2.37"</f>
        <v/>
      </c>
      <c r="C60" s="3">
        <f>"0.70"</f>
        <v/>
      </c>
    </row>
    <row r="61">
      <c r="A61" s="4">
        <f>"p_hourstrained"</f>
        <v/>
      </c>
      <c r="B61" s="4">
        <f>"3.58"</f>
        <v/>
      </c>
      <c r="C61" s="4">
        <f>"1.19"</f>
        <v/>
      </c>
    </row>
    <row r="62">
      <c r="A62" s="3">
        <f>"p_cost"</f>
        <v/>
      </c>
      <c r="B62" s="3">
        <f>"2.55"</f>
        <v/>
      </c>
      <c r="C62" s="3">
        <f>"0.92"</f>
        <v/>
      </c>
    </row>
    <row r="63">
      <c r="A63" s="4">
        <f>"p_eligibility"</f>
        <v/>
      </c>
      <c r="B63" s="4">
        <f>"61.49"</f>
        <v/>
      </c>
      <c r="C63" s="4">
        <f>"22.04"</f>
        <v/>
      </c>
    </row>
    <row r="64">
      <c r="A64" s="3">
        <f>"p_part_exp"</f>
        <v/>
      </c>
      <c r="B64" s="3">
        <f>"66.49"</f>
        <v/>
      </c>
      <c r="C64" s="3">
        <f>"23.88"</f>
        <v/>
      </c>
    </row>
    <row r="65">
      <c r="A65" s="4">
        <f>"p_fund_org"</f>
        <v/>
      </c>
      <c r="B65" s="4">
        <f>"55.29"</f>
        <v/>
      </c>
      <c r="C65" s="4">
        <f>"32.90"</f>
        <v/>
      </c>
    </row>
    <row r="66">
      <c r="A66" s="3">
        <f>"p_fund_gov"</f>
        <v/>
      </c>
      <c r="B66" s="3">
        <f>"14.26"</f>
        <v/>
      </c>
      <c r="C66" s="3">
        <f>"13.96"</f>
        <v/>
      </c>
    </row>
    <row r="67">
      <c r="A67" s="4">
        <f>"p_ongoing"</f>
        <v/>
      </c>
      <c r="B67" s="4">
        <f>"0.50"</f>
        <v/>
      </c>
      <c r="C67" s="4">
        <f>"0.50"</f>
        <v/>
      </c>
    </row>
    <row r="68">
      <c r="A68" s="3">
        <f>"p_mandavolunt"</f>
        <v/>
      </c>
      <c r="B68" s="3">
        <f>"1.65"</f>
        <v/>
      </c>
      <c r="C68" s="3">
        <f>"0.48"</f>
        <v/>
      </c>
    </row>
    <row r="69">
      <c r="A69" s="4">
        <f>"p_otjactivities"</f>
        <v/>
      </c>
      <c r="B69" s="4">
        <f>"1.08"</f>
        <v/>
      </c>
      <c r="C69" s="4">
        <f>"0.27"</f>
        <v/>
      </c>
    </row>
    <row r="70">
      <c r="A70" s="3">
        <f>"p_targetemp_c"</f>
        <v/>
      </c>
      <c r="B70" s="3">
        <f>"0.23"</f>
        <v/>
      </c>
      <c r="C70" s="3">
        <f>"0.42"</f>
        <v/>
      </c>
    </row>
    <row r="71">
      <c r="A71" s="4">
        <f>"p_targetemp_emp"</f>
        <v/>
      </c>
      <c r="B71" s="4">
        <f>"0.66"</f>
        <v/>
      </c>
      <c r="C71" s="4">
        <f>"0.47"</f>
        <v/>
      </c>
    </row>
    <row r="72">
      <c r="A72" s="3">
        <f>"Total"</f>
        <v/>
      </c>
      <c r="B72" s="3">
        <f>""</f>
        <v/>
      </c>
      <c r="C72" s="3">
        <f>""</f>
        <v/>
      </c>
    </row>
    <row r="73">
      <c r="A73" s="4">
        <f>"p_participated"</f>
        <v/>
      </c>
      <c r="B73" s="4">
        <f>"3.07"</f>
        <v/>
      </c>
      <c r="C73" s="4">
        <f>"1.27"</f>
        <v/>
      </c>
    </row>
    <row r="74">
      <c r="A74" s="3">
        <f>"p_participated_2023"</f>
        <v/>
      </c>
      <c r="B74" s="3">
        <f>"3.61"</f>
        <v/>
      </c>
      <c r="C74" s="3">
        <f>"1.31"</f>
        <v/>
      </c>
    </row>
    <row r="75">
      <c r="A75" s="4">
        <f>"p_duration"</f>
        <v/>
      </c>
      <c r="B75" s="4">
        <f>"2.31"</f>
        <v/>
      </c>
      <c r="C75" s="4">
        <f>"0.70"</f>
        <v/>
      </c>
    </row>
    <row r="76">
      <c r="A76" s="3">
        <f>"p_hourstrained"</f>
        <v/>
      </c>
      <c r="B76" s="3">
        <f>"3.41"</f>
        <v/>
      </c>
      <c r="C76" s="3">
        <f>"1.16"</f>
        <v/>
      </c>
    </row>
    <row r="77">
      <c r="A77" s="4">
        <f>"p_cost"</f>
        <v/>
      </c>
      <c r="B77" s="4">
        <f>"2.50"</f>
        <v/>
      </c>
      <c r="C77" s="4">
        <f>"0.94"</f>
        <v/>
      </c>
    </row>
    <row r="78">
      <c r="A78" s="3">
        <f>"p_eligibility"</f>
        <v/>
      </c>
      <c r="B78" s="3">
        <f>"60.99"</f>
        <v/>
      </c>
      <c r="C78" s="3">
        <f>"21.68"</f>
        <v/>
      </c>
    </row>
    <row r="79">
      <c r="A79" s="4">
        <f>"p_part_exp"</f>
        <v/>
      </c>
      <c r="B79" s="4">
        <f>"65.62"</f>
        <v/>
      </c>
      <c r="C79" s="4">
        <f>"23.34"</f>
        <v/>
      </c>
    </row>
    <row r="80">
      <c r="A80" s="3">
        <f>"p_fund_org"</f>
        <v/>
      </c>
      <c r="B80" s="3">
        <f>"57.24"</f>
        <v/>
      </c>
      <c r="C80" s="3">
        <f>"33.95"</f>
        <v/>
      </c>
    </row>
    <row r="81">
      <c r="A81" s="4">
        <f>"p_fund_gov"</f>
        <v/>
      </c>
      <c r="B81" s="4">
        <f>"13.94"</f>
        <v/>
      </c>
      <c r="C81" s="4">
        <f>"14.88"</f>
        <v/>
      </c>
    </row>
    <row r="82">
      <c r="A82" s="3">
        <f>"p_ongoing"</f>
        <v/>
      </c>
      <c r="B82" s="3">
        <f>"0.47"</f>
        <v/>
      </c>
      <c r="C82" s="3">
        <f>"0.50"</f>
        <v/>
      </c>
    </row>
    <row r="83">
      <c r="A83" s="4">
        <f>"p_mandavolunt"</f>
        <v/>
      </c>
      <c r="B83" s="4">
        <f>"1.61"</f>
        <v/>
      </c>
      <c r="C83" s="4">
        <f>"0.49"</f>
        <v/>
      </c>
    </row>
    <row r="84">
      <c r="A84" s="3">
        <f>"p_otjactivities"</f>
        <v/>
      </c>
      <c r="B84" s="3">
        <f>"1.09"</f>
        <v/>
      </c>
      <c r="C84" s="3">
        <f>"0.28"</f>
        <v/>
      </c>
    </row>
    <row r="85">
      <c r="A85" s="4">
        <f>"p_targetemp_c"</f>
        <v/>
      </c>
      <c r="B85" s="4">
        <f>"0.21"</f>
        <v/>
      </c>
      <c r="C85" s="4">
        <f>"0.41"</f>
        <v/>
      </c>
    </row>
    <row r="86">
      <c r="A86" s="3">
        <f>"p_targetemp_emp"</f>
        <v/>
      </c>
      <c r="B86" s="3">
        <f>"0.65"</f>
        <v/>
      </c>
      <c r="C86" s="3">
        <f>"0.48"</f>
        <v/>
      </c>
    </row>
    <row r="87">
      <c r="A87" s="4">
        <f>"N"</f>
        <v/>
      </c>
      <c r="B87" s="4">
        <f>"1209"</f>
        <v/>
      </c>
      <c r="C87" s="4">
        <f>""</f>
        <v/>
      </c>
    </row>
    <row r="88"/>
    <row r="89"/>
    <row r="90">
      <c r="A90" s="5" t="inlineStr">
        <is>
          <t>Program Characteristics Visualizations</t>
        </is>
      </c>
    </row>
    <row r="91">
      <c r="A91" s="5" t="inlineStr">
        <is>
          <t>Program Characteristics Comparison</t>
        </is>
      </c>
    </row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>
      <c r="A112" s="5" t="inlineStr">
        <is>
          <t>Duration by Program Type</t>
        </is>
      </c>
    </row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>
      <c r="A133" s="5" t="inlineStr">
        <is>
          <t>Hours Trained by Program Type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>
      <c r="A154" s="5" t="inlineStr">
        <is>
          <t>Cost by Program Type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cols>
    <col width="52" customWidth="1" min="1" max="1"/>
    <col width="10" customWidth="1" min="2" max="2"/>
    <col width="10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</cols>
  <sheetData>
    <row r="1">
      <c r="A1" s="1" t="inlineStr">
        <is>
          <t>Clusters of Training Programs (2 Cluster Analysis)</t>
        </is>
      </c>
    </row>
    <row r="2"/>
    <row r="3">
      <c r="A3" s="5" t="inlineStr">
        <is>
          <t>Training Program Cluster Characteristics</t>
        </is>
      </c>
    </row>
    <row r="4">
      <c r="A4" s="2">
        <f>""</f>
        <v/>
      </c>
      <c r="B4" s="2">
        <f>"(1)"</f>
        <v/>
      </c>
      <c r="C4" s="2">
        <f>"".1</f>
        <v/>
      </c>
    </row>
    <row r="5">
      <c r="A5" s="4">
        <f>""</f>
        <v/>
      </c>
      <c r="B5" s="4">
        <f>""</f>
        <v/>
      </c>
      <c r="C5" s="4">
        <f>""</f>
        <v/>
      </c>
    </row>
    <row r="6">
      <c r="A6" s="3">
        <f>""</f>
        <v/>
      </c>
      <c r="B6" s="3">
        <f>"mean"</f>
        <v/>
      </c>
      <c r="C6" s="3">
        <f>"sd"</f>
        <v/>
      </c>
    </row>
    <row r="7">
      <c r="A7" s="4">
        <f>"Cluster 1"</f>
        <v/>
      </c>
      <c r="B7" s="4">
        <f>""</f>
        <v/>
      </c>
      <c r="C7" s="4">
        <f>""</f>
        <v/>
      </c>
    </row>
    <row r="8">
      <c r="A8" s="3">
        <f>"p_participated"</f>
        <v/>
      </c>
      <c r="B8" s="3">
        <f>"3.42"</f>
        <v/>
      </c>
      <c r="C8" s="3">
        <f>"1.19"</f>
        <v/>
      </c>
    </row>
    <row r="9">
      <c r="A9" s="4">
        <f>"p_participated_2023"</f>
        <v/>
      </c>
      <c r="B9" s="4">
        <f>"4.02"</f>
        <v/>
      </c>
      <c r="C9" s="4">
        <f>"1.18"</f>
        <v/>
      </c>
    </row>
    <row r="10">
      <c r="A10" s="3">
        <f>"p_duration"</f>
        <v/>
      </c>
      <c r="B10" s="3">
        <f>"2.39"</f>
        <v/>
      </c>
      <c r="C10" s="3">
        <f>"0.67"</f>
        <v/>
      </c>
    </row>
    <row r="11">
      <c r="A11" s="4">
        <f>"p_hourstrained"</f>
        <v/>
      </c>
      <c r="B11" s="4">
        <f>"3.75"</f>
        <v/>
      </c>
      <c r="C11" s="4">
        <f>"1.11"</f>
        <v/>
      </c>
    </row>
    <row r="12">
      <c r="A12" s="3">
        <f>"p_cost"</f>
        <v/>
      </c>
      <c r="B12" s="3">
        <f>"2.62"</f>
        <v/>
      </c>
      <c r="C12" s="3">
        <f>"0.89"</f>
        <v/>
      </c>
    </row>
    <row r="13">
      <c r="A13" s="4">
        <f>"p_eligibility"</f>
        <v/>
      </c>
      <c r="B13" s="4">
        <f>"66.14"</f>
        <v/>
      </c>
      <c r="C13" s="4">
        <f>"19.44"</f>
        <v/>
      </c>
    </row>
    <row r="14">
      <c r="A14" s="3">
        <f>"p_part_exp"</f>
        <v/>
      </c>
      <c r="B14" s="3">
        <f>"72.93"</f>
        <v/>
      </c>
      <c r="C14" s="3">
        <f>"19.77"</f>
        <v/>
      </c>
    </row>
    <row r="15">
      <c r="A15" s="4">
        <f>"p_fund_org"</f>
        <v/>
      </c>
      <c r="B15" s="4">
        <f>"48.84"</f>
        <v/>
      </c>
      <c r="C15" s="4">
        <f>"30.71"</f>
        <v/>
      </c>
    </row>
    <row r="16">
      <c r="A16" s="3">
        <f>"p_fund_gov"</f>
        <v/>
      </c>
      <c r="B16" s="3">
        <f>"16.47"</f>
        <v/>
      </c>
      <c r="C16" s="3">
        <f>"14.02"</f>
        <v/>
      </c>
    </row>
    <row r="17">
      <c r="A17" s="4">
        <f>"p_ongoing"</f>
        <v/>
      </c>
      <c r="B17" s="4">
        <f>"0.37"</f>
        <v/>
      </c>
      <c r="C17" s="4">
        <f>"0.48"</f>
        <v/>
      </c>
    </row>
    <row r="18">
      <c r="A18" s="3">
        <f>"p_mandavolunt"</f>
        <v/>
      </c>
      <c r="B18" s="3">
        <f>"1.62"</f>
        <v/>
      </c>
      <c r="C18" s="3">
        <f>"0.49"</f>
        <v/>
      </c>
    </row>
    <row r="19">
      <c r="A19" s="4">
        <f>"p_otjactivities"</f>
        <v/>
      </c>
      <c r="B19" s="4">
        <f>"1.07"</f>
        <v/>
      </c>
      <c r="C19" s="4">
        <f>"0.25"</f>
        <v/>
      </c>
    </row>
    <row r="20">
      <c r="A20" s="3">
        <f>"p_targetemp_c"</f>
        <v/>
      </c>
      <c r="B20" s="3">
        <f>"0.30"</f>
        <v/>
      </c>
      <c r="C20" s="3">
        <f>"0.46"</f>
        <v/>
      </c>
    </row>
    <row r="21">
      <c r="A21" s="4">
        <f>"p_targetemp_emp"</f>
        <v/>
      </c>
      <c r="B21" s="4">
        <f>"0.63"</f>
        <v/>
      </c>
      <c r="C21" s="4">
        <f>"0.48"</f>
        <v/>
      </c>
    </row>
    <row r="22">
      <c r="A22" s="3">
        <f>"Cluster 2"</f>
        <v/>
      </c>
      <c r="B22" s="3">
        <f>""</f>
        <v/>
      </c>
      <c r="C22" s="3">
        <f>""</f>
        <v/>
      </c>
    </row>
    <row r="23">
      <c r="A23" s="4">
        <f>"p_participated"</f>
        <v/>
      </c>
      <c r="B23" s="4">
        <f>"2.66"</f>
        <v/>
      </c>
      <c r="C23" s="4">
        <f>"1.23"</f>
        <v/>
      </c>
    </row>
    <row r="24">
      <c r="A24" s="3">
        <f>"p_participated_2023"</f>
        <v/>
      </c>
      <c r="B24" s="3">
        <f>"3.14"</f>
        <v/>
      </c>
      <c r="C24" s="3">
        <f>"1.26"</f>
        <v/>
      </c>
    </row>
    <row r="25">
      <c r="A25" s="4">
        <f>"p_duration"</f>
        <v/>
      </c>
      <c r="B25" s="4">
        <f>"2.22"</f>
        <v/>
      </c>
      <c r="C25" s="4">
        <f>"0.71"</f>
        <v/>
      </c>
    </row>
    <row r="26">
      <c r="A26" s="3">
        <f>"p_hourstrained"</f>
        <v/>
      </c>
      <c r="B26" s="3">
        <f>"3.05"</f>
        <v/>
      </c>
      <c r="C26" s="3">
        <f>"1.12"</f>
        <v/>
      </c>
    </row>
    <row r="27">
      <c r="A27" s="4">
        <f>"p_cost"</f>
        <v/>
      </c>
      <c r="B27" s="4">
        <f>"2.38"</f>
        <v/>
      </c>
      <c r="C27" s="4">
        <f>"0.99"</f>
        <v/>
      </c>
    </row>
    <row r="28">
      <c r="A28" s="3">
        <f>"p_eligibility"</f>
        <v/>
      </c>
      <c r="B28" s="3">
        <f>"54.49"</f>
        <v/>
      </c>
      <c r="C28" s="3">
        <f>"21.97"</f>
        <v/>
      </c>
    </row>
    <row r="29">
      <c r="A29" s="4">
        <f>"p_part_exp"</f>
        <v/>
      </c>
      <c r="B29" s="4">
        <f>"57.12"</f>
        <v/>
      </c>
      <c r="C29" s="4">
        <f>"24.16"</f>
        <v/>
      </c>
    </row>
    <row r="30">
      <c r="A30" s="3">
        <f>"p_fund_org"</f>
        <v/>
      </c>
      <c r="B30" s="3">
        <f>"67.05"</f>
        <v/>
      </c>
      <c r="C30" s="3">
        <f>"34.91"</f>
        <v/>
      </c>
    </row>
    <row r="31">
      <c r="A31" s="4">
        <f>"p_fund_gov"</f>
        <v/>
      </c>
      <c r="B31" s="4">
        <f>"11.04"</f>
        <v/>
      </c>
      <c r="C31" s="4">
        <f>"15.33"</f>
        <v/>
      </c>
    </row>
    <row r="32">
      <c r="A32" s="3">
        <f>"p_ongoing"</f>
        <v/>
      </c>
      <c r="B32" s="3">
        <f>"0.66"</f>
        <v/>
      </c>
      <c r="C32" s="3">
        <f>"0.47"</f>
        <v/>
      </c>
    </row>
    <row r="33">
      <c r="A33" s="4">
        <f>"p_mandavolunt"</f>
        <v/>
      </c>
      <c r="B33" s="4">
        <f>"1.61"</f>
        <v/>
      </c>
      <c r="C33" s="4">
        <f>"0.49"</f>
        <v/>
      </c>
    </row>
    <row r="34">
      <c r="A34" s="3">
        <f>"p_otjactivities"</f>
        <v/>
      </c>
      <c r="B34" s="3">
        <f>"1.10"</f>
        <v/>
      </c>
      <c r="C34" s="3">
        <f>"0.30"</f>
        <v/>
      </c>
    </row>
    <row r="35">
      <c r="A35" s="4">
        <f>"p_targetemp_c"</f>
        <v/>
      </c>
      <c r="B35" s="4">
        <f>"0.11"</f>
        <v/>
      </c>
      <c r="C35" s="4">
        <f>"0.32"</f>
        <v/>
      </c>
    </row>
    <row r="36">
      <c r="A36" s="3">
        <f>"p_targetemp_emp"</f>
        <v/>
      </c>
      <c r="B36" s="3">
        <f>"0.67"</f>
        <v/>
      </c>
      <c r="C36" s="3">
        <f>"0.47"</f>
        <v/>
      </c>
    </row>
    <row r="37">
      <c r="A37" s="4">
        <f>"Total"</f>
        <v/>
      </c>
      <c r="B37" s="4">
        <f>""</f>
        <v/>
      </c>
      <c r="C37" s="4">
        <f>""</f>
        <v/>
      </c>
    </row>
    <row r="38">
      <c r="A38" s="3">
        <f>"p_participated"</f>
        <v/>
      </c>
      <c r="B38" s="3">
        <f>"3.07"</f>
        <v/>
      </c>
      <c r="C38" s="3">
        <f>"1.27"</f>
        <v/>
      </c>
    </row>
    <row r="39">
      <c r="A39" s="4">
        <f>"p_participated_2023"</f>
        <v/>
      </c>
      <c r="B39" s="4">
        <f>"3.62"</f>
        <v/>
      </c>
      <c r="C39" s="4">
        <f>"1.30"</f>
        <v/>
      </c>
    </row>
    <row r="40">
      <c r="A40" s="3">
        <f>"p_duration"</f>
        <v/>
      </c>
      <c r="B40" s="3">
        <f>"2.31"</f>
        <v/>
      </c>
      <c r="C40" s="3">
        <f>"0.69"</f>
        <v/>
      </c>
    </row>
    <row r="41">
      <c r="A41" s="4">
        <f>"p_hourstrained"</f>
        <v/>
      </c>
      <c r="B41" s="4">
        <f>"3.43"</f>
        <v/>
      </c>
      <c r="C41" s="4">
        <f>"1.17"</f>
        <v/>
      </c>
    </row>
    <row r="42">
      <c r="A42" s="3">
        <f>"p_cost"</f>
        <v/>
      </c>
      <c r="B42" s="3">
        <f>"2.51"</f>
        <v/>
      </c>
      <c r="C42" s="3">
        <f>"0.94"</f>
        <v/>
      </c>
    </row>
    <row r="43">
      <c r="A43" s="4">
        <f>"p_eligibility"</f>
        <v/>
      </c>
      <c r="B43" s="4">
        <f>"60.77"</f>
        <v/>
      </c>
      <c r="C43" s="4">
        <f>"21.44"</f>
        <v/>
      </c>
    </row>
    <row r="44">
      <c r="A44" s="3">
        <f>"p_part_exp"</f>
        <v/>
      </c>
      <c r="B44" s="3">
        <f>"65.64"</f>
        <v/>
      </c>
      <c r="C44" s="3">
        <f>"23.27"</f>
        <v/>
      </c>
    </row>
    <row r="45">
      <c r="A45" s="4">
        <f>"p_fund_org"</f>
        <v/>
      </c>
      <c r="B45" s="4">
        <f>"57.23"</f>
        <v/>
      </c>
      <c r="C45" s="4">
        <f>"33.94"</f>
        <v/>
      </c>
    </row>
    <row r="46">
      <c r="A46" s="3">
        <f>"p_fund_gov"</f>
        <v/>
      </c>
      <c r="B46" s="3">
        <f>"13.97"</f>
        <v/>
      </c>
      <c r="C46" s="3">
        <f>"14.88"</f>
        <v/>
      </c>
    </row>
    <row r="47">
      <c r="A47" s="4">
        <f>"p_ongoing"</f>
        <v/>
      </c>
      <c r="B47" s="4">
        <f>"0.50"</f>
        <v/>
      </c>
      <c r="C47" s="4">
        <f>"0.50"</f>
        <v/>
      </c>
    </row>
    <row r="48">
      <c r="A48" s="3">
        <f>"p_mandavolunt"</f>
        <v/>
      </c>
      <c r="B48" s="3">
        <f>"1.61"</f>
        <v/>
      </c>
      <c r="C48" s="3">
        <f>"0.49"</f>
        <v/>
      </c>
    </row>
    <row r="49">
      <c r="A49" s="4">
        <f>"p_otjactivities"</f>
        <v/>
      </c>
      <c r="B49" s="4">
        <f>"1.08"</f>
        <v/>
      </c>
      <c r="C49" s="4">
        <f>"0.28"</f>
        <v/>
      </c>
    </row>
    <row r="50">
      <c r="A50" s="3">
        <f>"p_targetemp_c"</f>
        <v/>
      </c>
      <c r="B50" s="3">
        <f>"0.21"</f>
        <v/>
      </c>
      <c r="C50" s="3">
        <f>"0.41"</f>
        <v/>
      </c>
    </row>
    <row r="51">
      <c r="A51" s="4">
        <f>"p_targetemp_emp"</f>
        <v/>
      </c>
      <c r="B51" s="4">
        <f>"0.65"</f>
        <v/>
      </c>
      <c r="C51" s="4">
        <f>"0.48"</f>
        <v/>
      </c>
    </row>
    <row r="52">
      <c r="A52" s="3">
        <f>"N"</f>
        <v/>
      </c>
      <c r="B52" s="3">
        <f>"1093"</f>
        <v/>
      </c>
      <c r="C52" s="3">
        <f>""</f>
        <v/>
      </c>
    </row>
    <row r="53"/>
    <row r="54"/>
    <row r="55">
      <c r="A55" s="5" t="inlineStr">
        <is>
          <t>Training Program Cluster Visualizations</t>
        </is>
      </c>
    </row>
    <row r="56">
      <c r="A56" s="5" t="inlineStr">
        <is>
          <t>Participation by Cluster</t>
        </is>
      </c>
    </row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>
      <c r="A77" s="5" t="inlineStr">
        <is>
          <t>Structure by Cluster</t>
        </is>
      </c>
    </row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>
      <c r="A98" s="5" t="inlineStr">
        <is>
          <t>Funding by Cluster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cols>
    <col width="51" customWidth="1" min="1" max="1"/>
    <col width="10" customWidth="1" min="2" max="2"/>
    <col width="11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</cols>
  <sheetData>
    <row r="1">
      <c r="A1" s="1" t="inlineStr">
        <is>
          <t>Tabulation of Cluster vs Reskilling Dummy</t>
        </is>
      </c>
    </row>
    <row r="2"/>
    <row r="3">
      <c r="A3" s="5" t="inlineStr">
        <is>
          <t>Cluster vs Program Type Contingency Table</t>
        </is>
      </c>
    </row>
    <row r="4">
      <c r="A4" s="2">
        <f>""</f>
        <v/>
      </c>
      <c r="B4" s="2">
        <f>"(1)"</f>
        <v/>
      </c>
      <c r="C4" s="2">
        <f>"".1</f>
        <v/>
      </c>
    </row>
    <row r="5">
      <c r="A5" s="4">
        <f>""</f>
        <v/>
      </c>
      <c r="B5" s="4">
        <f>""</f>
        <v/>
      </c>
      <c r="C5" s="4">
        <f>""</f>
        <v/>
      </c>
    </row>
    <row r="6">
      <c r="A6" s="3">
        <f>""</f>
        <v/>
      </c>
      <c r="B6" s="3">
        <f>"b"</f>
        <v/>
      </c>
      <c r="C6" s="3">
        <f>"rowpct"</f>
        <v/>
      </c>
    </row>
    <row r="7">
      <c r="A7" s="4">
        <f>"Upskilling"</f>
        <v/>
      </c>
      <c r="B7" s="4">
        <f>""</f>
        <v/>
      </c>
      <c r="C7" s="4">
        <f>""</f>
        <v/>
      </c>
    </row>
    <row r="8">
      <c r="A8" s="3">
        <f>"Cluster 1"</f>
        <v/>
      </c>
      <c r="B8" s="3">
        <f>"192"</f>
        <v/>
      </c>
      <c r="C8" s="3">
        <f>"32.2"</f>
        <v/>
      </c>
    </row>
    <row r="9">
      <c r="A9" s="4">
        <f>"Cluster 2"</f>
        <v/>
      </c>
      <c r="B9" s="4">
        <f>"266"</f>
        <v/>
      </c>
      <c r="C9" s="4">
        <f>"50.3"</f>
        <v/>
      </c>
    </row>
    <row r="10">
      <c r="A10" s="3">
        <f>"Total"</f>
        <v/>
      </c>
      <c r="B10" s="3">
        <f>"458"</f>
        <v/>
      </c>
      <c r="C10" s="3">
        <f>"40.7"</f>
        <v/>
      </c>
    </row>
    <row r="11">
      <c r="A11" s="4">
        <f>"Reskilling"</f>
        <v/>
      </c>
      <c r="B11" s="4">
        <f>""</f>
        <v/>
      </c>
      <c r="C11" s="4">
        <f>""</f>
        <v/>
      </c>
    </row>
    <row r="12">
      <c r="A12" s="3">
        <f>"Cluster 1"</f>
        <v/>
      </c>
      <c r="B12" s="3">
        <f>"404"</f>
        <v/>
      </c>
      <c r="C12" s="3">
        <f>"67.8"</f>
        <v/>
      </c>
    </row>
    <row r="13">
      <c r="A13" s="4">
        <f>"Cluster 2"</f>
        <v/>
      </c>
      <c r="B13" s="4">
        <f>"263"</f>
        <v/>
      </c>
      <c r="C13" s="4">
        <f>"49.7"</f>
        <v/>
      </c>
    </row>
    <row r="14">
      <c r="A14" s="3">
        <f>"Total"</f>
        <v/>
      </c>
      <c r="B14" s="3">
        <f>"667"</f>
        <v/>
      </c>
      <c r="C14" s="3">
        <f>"59.3"</f>
        <v/>
      </c>
    </row>
    <row r="15">
      <c r="A15" s="4">
        <f>"Total"</f>
        <v/>
      </c>
      <c r="B15" s="4">
        <f>""</f>
        <v/>
      </c>
      <c r="C15" s="4">
        <f>""</f>
        <v/>
      </c>
    </row>
    <row r="16">
      <c r="A16" s="3">
        <f>"Cluster 1"</f>
        <v/>
      </c>
      <c r="B16" s="3">
        <f>"596"</f>
        <v/>
      </c>
      <c r="C16" s="3">
        <f>"100.0"</f>
        <v/>
      </c>
    </row>
    <row r="17">
      <c r="A17" s="4">
        <f>"Cluster 2"</f>
        <v/>
      </c>
      <c r="B17" s="4">
        <f>"529"</f>
        <v/>
      </c>
      <c r="C17" s="4">
        <f>"100.0"</f>
        <v/>
      </c>
    </row>
    <row r="18">
      <c r="A18" s="3">
        <f>"Total"</f>
        <v/>
      </c>
      <c r="B18" s="3">
        <f>"1125"</f>
        <v/>
      </c>
      <c r="C18" s="3">
        <f>"100.0"</f>
        <v/>
      </c>
    </row>
    <row r="19">
      <c r="A19" s="4">
        <f>"N"</f>
        <v/>
      </c>
      <c r="B19" s="4">
        <f>"1125"</f>
        <v/>
      </c>
      <c r="C19" s="4">
        <f>""</f>
        <v/>
      </c>
    </row>
    <row r="20"/>
    <row r="21">
      <c r="A21" s="5" t="inlineStr">
        <is>
          <t>Characteristics of Reskilling Programs by Cluster</t>
        </is>
      </c>
    </row>
    <row r="22">
      <c r="A22" s="2">
        <f>""</f>
        <v/>
      </c>
      <c r="B22" s="2">
        <f>"(1)"</f>
        <v/>
      </c>
      <c r="C22" s="2">
        <f>"".1</f>
        <v/>
      </c>
    </row>
    <row r="23">
      <c r="A23" s="4">
        <f>""</f>
        <v/>
      </c>
      <c r="B23" s="4">
        <f>""</f>
        <v/>
      </c>
      <c r="C23" s="4">
        <f>""</f>
        <v/>
      </c>
    </row>
    <row r="24">
      <c r="A24" s="3">
        <f>""</f>
        <v/>
      </c>
      <c r="B24" s="3">
        <f>"mean"</f>
        <v/>
      </c>
      <c r="C24" s="3">
        <f>"sd"</f>
        <v/>
      </c>
    </row>
    <row r="25">
      <c r="A25" s="4">
        <f>"Cluster 1"</f>
        <v/>
      </c>
      <c r="B25" s="4">
        <f>""</f>
        <v/>
      </c>
      <c r="C25" s="4">
        <f>""</f>
        <v/>
      </c>
    </row>
    <row r="26">
      <c r="A26" s="3">
        <f>"p_participated"</f>
        <v/>
      </c>
      <c r="B26" s="3">
        <f>"3.38"</f>
        <v/>
      </c>
      <c r="C26" s="3">
        <f>"1.18"</f>
        <v/>
      </c>
    </row>
    <row r="27">
      <c r="A27" s="4">
        <f>"p_duration"</f>
        <v/>
      </c>
      <c r="B27" s="4">
        <f>"2.44"</f>
        <v/>
      </c>
      <c r="C27" s="4">
        <f>"0.66"</f>
        <v/>
      </c>
    </row>
    <row r="28">
      <c r="A28" s="3">
        <f>"p_hourstrained"</f>
        <v/>
      </c>
      <c r="B28" s="3">
        <f>"3.87"</f>
        <v/>
      </c>
      <c r="C28" s="3">
        <f>"1.11"</f>
        <v/>
      </c>
    </row>
    <row r="29">
      <c r="A29" s="4">
        <f>"p_cost"</f>
        <v/>
      </c>
      <c r="B29" s="4">
        <f>"2.62"</f>
        <v/>
      </c>
      <c r="C29" s="4">
        <f>"0.88"</f>
        <v/>
      </c>
    </row>
    <row r="30">
      <c r="A30" s="3">
        <f>"p_eligibility"</f>
        <v/>
      </c>
      <c r="B30" s="3">
        <f>"66.23"</f>
        <v/>
      </c>
      <c r="C30" s="3">
        <f>"19.45"</f>
        <v/>
      </c>
    </row>
    <row r="31">
      <c r="A31" s="4">
        <f>"p_ongoing"</f>
        <v/>
      </c>
      <c r="B31" s="4">
        <f>"0.38"</f>
        <v/>
      </c>
      <c r="C31" s="4">
        <f>"0.49"</f>
        <v/>
      </c>
    </row>
    <row r="32">
      <c r="A32" s="3">
        <f>"p_targetemp_c"</f>
        <v/>
      </c>
      <c r="B32" s="3">
        <f>"0.31"</f>
        <v/>
      </c>
      <c r="C32" s="3">
        <f>"0.46"</f>
        <v/>
      </c>
    </row>
    <row r="33">
      <c r="A33" s="4">
        <f>"p_targetemp_emp"</f>
        <v/>
      </c>
      <c r="B33" s="4">
        <f>"0.63"</f>
        <v/>
      </c>
      <c r="C33" s="4">
        <f>"0.48"</f>
        <v/>
      </c>
    </row>
    <row r="34">
      <c r="A34" s="3">
        <f>"Cluster 2"</f>
        <v/>
      </c>
      <c r="B34" s="3">
        <f>""</f>
        <v/>
      </c>
      <c r="C34" s="3">
        <f>""</f>
        <v/>
      </c>
    </row>
    <row r="35">
      <c r="A35" s="4">
        <f>"p_participated"</f>
        <v/>
      </c>
      <c r="B35" s="4">
        <f>"2.59"</f>
        <v/>
      </c>
      <c r="C35" s="4">
        <f>"1.22"</f>
        <v/>
      </c>
    </row>
    <row r="36">
      <c r="A36" s="3">
        <f>"p_duration"</f>
        <v/>
      </c>
      <c r="B36" s="3">
        <f>"2.28"</f>
        <v/>
      </c>
      <c r="C36" s="3">
        <f>"0.76"</f>
        <v/>
      </c>
    </row>
    <row r="37">
      <c r="A37" s="4">
        <f>"p_hourstrained"</f>
        <v/>
      </c>
      <c r="B37" s="4">
        <f>"3.15"</f>
        <v/>
      </c>
      <c r="C37" s="4">
        <f>"1.20"</f>
        <v/>
      </c>
    </row>
    <row r="38">
      <c r="A38" s="3">
        <f>"p_cost"</f>
        <v/>
      </c>
      <c r="B38" s="3">
        <f>"2.46"</f>
        <v/>
      </c>
      <c r="C38" s="3">
        <f>"0.98"</f>
        <v/>
      </c>
    </row>
    <row r="39">
      <c r="A39" s="4">
        <f>"p_eligibility"</f>
        <v/>
      </c>
      <c r="B39" s="4">
        <f>"54.78"</f>
        <v/>
      </c>
      <c r="C39" s="4">
        <f>"23.42"</f>
        <v/>
      </c>
    </row>
    <row r="40">
      <c r="A40" s="3">
        <f>"p_ongoing"</f>
        <v/>
      </c>
      <c r="B40" s="3">
        <f>"0.70"</f>
        <v/>
      </c>
      <c r="C40" s="3">
        <f>"0.46"</f>
        <v/>
      </c>
    </row>
    <row r="41">
      <c r="A41" s="4">
        <f>"p_targetemp_c"</f>
        <v/>
      </c>
      <c r="B41" s="4">
        <f>"0.11"</f>
        <v/>
      </c>
      <c r="C41" s="4">
        <f>"0.31"</f>
        <v/>
      </c>
    </row>
    <row r="42">
      <c r="A42" s="3">
        <f>"p_targetemp_emp"</f>
        <v/>
      </c>
      <c r="B42" s="3">
        <f>"0.71"</f>
        <v/>
      </c>
      <c r="C42" s="3">
        <f>"0.45"</f>
        <v/>
      </c>
    </row>
    <row r="43">
      <c r="A43" s="4">
        <f>"Total"</f>
        <v/>
      </c>
      <c r="B43" s="4">
        <f>""</f>
        <v/>
      </c>
      <c r="C43" s="4">
        <f>""</f>
        <v/>
      </c>
    </row>
    <row r="44">
      <c r="A44" s="3">
        <f>"p_participated"</f>
        <v/>
      </c>
      <c r="B44" s="3">
        <f>"3.07"</f>
        <v/>
      </c>
      <c r="C44" s="3">
        <f>"1.26"</f>
        <v/>
      </c>
    </row>
    <row r="45">
      <c r="A45" s="4">
        <f>"p_duration"</f>
        <v/>
      </c>
      <c r="B45" s="4">
        <f>"2.37"</f>
        <v/>
      </c>
      <c r="C45" s="4">
        <f>"0.70"</f>
        <v/>
      </c>
    </row>
    <row r="46">
      <c r="A46" s="3">
        <f>"p_hourstrained"</f>
        <v/>
      </c>
      <c r="B46" s="3">
        <f>"3.58"</f>
        <v/>
      </c>
      <c r="C46" s="3">
        <f>"1.19"</f>
        <v/>
      </c>
    </row>
    <row r="47">
      <c r="A47" s="4">
        <f>"p_cost"</f>
        <v/>
      </c>
      <c r="B47" s="4">
        <f>"2.55"</f>
        <v/>
      </c>
      <c r="C47" s="4">
        <f>"0.92"</f>
        <v/>
      </c>
    </row>
    <row r="48">
      <c r="A48" s="3">
        <f>"p_eligibility"</f>
        <v/>
      </c>
      <c r="B48" s="3">
        <f>"61.72"</f>
        <v/>
      </c>
      <c r="C48" s="3">
        <f>"21.82"</f>
        <v/>
      </c>
    </row>
    <row r="49">
      <c r="A49" s="4">
        <f>"p_ongoing"</f>
        <v/>
      </c>
      <c r="B49" s="4">
        <f>"0.51"</f>
        <v/>
      </c>
      <c r="C49" s="4">
        <f>"0.50"</f>
        <v/>
      </c>
    </row>
    <row r="50">
      <c r="A50" s="3">
        <f>"p_targetemp_c"</f>
        <v/>
      </c>
      <c r="B50" s="3">
        <f>"0.23"</f>
        <v/>
      </c>
      <c r="C50" s="3">
        <f>"0.42"</f>
        <v/>
      </c>
    </row>
    <row r="51">
      <c r="A51" s="4">
        <f>"p_targetemp_emp"</f>
        <v/>
      </c>
      <c r="B51" s="4">
        <f>"0.66"</f>
        <v/>
      </c>
      <c r="C51" s="4">
        <f>"0.47"</f>
        <v/>
      </c>
    </row>
    <row r="52">
      <c r="A52" s="3">
        <f>"N"</f>
        <v/>
      </c>
      <c r="B52" s="3">
        <f>"667"</f>
        <v/>
      </c>
      <c r="C52" s="3">
        <f>""</f>
        <v/>
      </c>
    </row>
    <row r="53"/>
    <row r="54"/>
    <row r="55">
      <c r="A55" s="5" t="inlineStr">
        <is>
          <t>Cluster vs Reskilling Visualizations</t>
        </is>
      </c>
    </row>
    <row r="56">
      <c r="A56" s="5" t="inlineStr">
        <is>
          <t>Cluster Composition by Program Type</t>
        </is>
      </c>
    </row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>
      <c r="A77" s="5" t="inlineStr">
        <is>
          <t>Reskilling Features by Cluster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56" customWidth="1" min="1" max="1"/>
    <col width="45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Regression with Reskilling Dummy as Dependent Variable</t>
        </is>
      </c>
    </row>
    <row r="2"/>
    <row r="3">
      <c r="A3" s="5" t="inlineStr">
        <is>
          <t>Reskilling Regression Results</t>
        </is>
      </c>
    </row>
    <row r="4">
      <c r="A4" s="2">
        <f>""</f>
        <v/>
      </c>
      <c r="B4" s="2">
        <f>"(1)"</f>
        <v/>
      </c>
      <c r="C4" s="2">
        <f>"(2)"</f>
        <v/>
      </c>
      <c r="D4" s="2">
        <f>"(3)"</f>
        <v/>
      </c>
      <c r="E4" s="2">
        <f>"(4)"</f>
        <v/>
      </c>
      <c r="F4" s="2">
        <f>"(5)"</f>
        <v/>
      </c>
      <c r="G4" s="2">
        <f>"(6)"</f>
        <v/>
      </c>
      <c r="H4" s="2">
        <f>"(7)"</f>
        <v/>
      </c>
      <c r="I4" s="2">
        <f>"(8)"</f>
        <v/>
      </c>
      <c r="J4" s="2">
        <f>"(9)"</f>
        <v/>
      </c>
      <c r="K4" s="2">
        <f>"(10)"</f>
        <v/>
      </c>
    </row>
    <row r="5">
      <c r="A5" s="4">
        <f>""</f>
        <v/>
      </c>
      <c r="B5" s="4">
        <f>"res"</f>
        <v/>
      </c>
      <c r="C5" s="4">
        <f>"res"</f>
        <v/>
      </c>
      <c r="D5" s="4">
        <f>"res"</f>
        <v/>
      </c>
      <c r="E5" s="4">
        <f>"res"</f>
        <v/>
      </c>
      <c r="F5" s="4">
        <f>"res"</f>
        <v/>
      </c>
      <c r="G5" s="4">
        <f>"res"</f>
        <v/>
      </c>
      <c r="H5" s="4">
        <f>"res"</f>
        <v/>
      </c>
      <c r="I5" s="4">
        <f>"res"</f>
        <v/>
      </c>
      <c r="J5" s="4">
        <f>"res"</f>
        <v/>
      </c>
      <c r="K5" s="4">
        <f>"res"</f>
        <v/>
      </c>
    </row>
    <row r="6">
      <c r="A6" s="3">
        <f>"f_medium"</f>
        <v/>
      </c>
      <c r="B6" s="3">
        <f>""</f>
        <v/>
      </c>
      <c r="C6" s="3">
        <f>"0.237***"</f>
        <v/>
      </c>
      <c r="D6" s="3">
        <f>"0.249***"</f>
        <v/>
      </c>
      <c r="E6" s="3">
        <f>"0.248***"</f>
        <v/>
      </c>
      <c r="F6" s="3">
        <f>"0.244***"</f>
        <v/>
      </c>
      <c r="G6" s="3">
        <f>"0.233***"</f>
        <v/>
      </c>
      <c r="H6" s="3">
        <f>"0.187***"</f>
        <v/>
      </c>
      <c r="I6" s="3">
        <f>"0.187***"</f>
        <v/>
      </c>
      <c r="J6" s="3">
        <f>"0.192***"</f>
        <v/>
      </c>
      <c r="K6" s="3">
        <f>"0.192***"</f>
        <v/>
      </c>
    </row>
    <row r="7">
      <c r="A7" s="4">
        <f>""</f>
        <v/>
      </c>
      <c r="B7" s="4">
        <f>""</f>
        <v/>
      </c>
      <c r="C7" s="4">
        <f>"(0.036)"</f>
        <v/>
      </c>
      <c r="D7" s="4">
        <f>"(0.037)"</f>
        <v/>
      </c>
      <c r="E7" s="4">
        <f>"(0.037)"</f>
        <v/>
      </c>
      <c r="F7" s="4">
        <f>"(0.037)"</f>
        <v/>
      </c>
      <c r="G7" s="4">
        <f>"(0.037)"</f>
        <v/>
      </c>
      <c r="H7" s="4">
        <f>"(0.037)"</f>
        <v/>
      </c>
      <c r="I7" s="4">
        <f>"(0.037)"</f>
        <v/>
      </c>
      <c r="J7" s="4">
        <f>"(0.038)"</f>
        <v/>
      </c>
      <c r="K7" s="4">
        <f>"(0.038)"</f>
        <v/>
      </c>
    </row>
    <row r="8">
      <c r="A8" s="3">
        <f>"f_large"</f>
        <v/>
      </c>
      <c r="B8" s="3">
        <f>""</f>
        <v/>
      </c>
      <c r="C8" s="3">
        <f>"0.028"</f>
        <v/>
      </c>
      <c r="D8" s="3">
        <f>"0.039"</f>
        <v/>
      </c>
      <c r="E8" s="3">
        <f>"0.048"</f>
        <v/>
      </c>
      <c r="F8" s="3">
        <f>"0.035"</f>
        <v/>
      </c>
      <c r="G8" s="3">
        <f>"0.021"</f>
        <v/>
      </c>
      <c r="H8" s="3">
        <f>"0.013"</f>
        <v/>
      </c>
      <c r="I8" s="3">
        <f>"0.016"</f>
        <v/>
      </c>
      <c r="J8" s="3">
        <f>"0.023"</f>
        <v/>
      </c>
      <c r="K8" s="3">
        <f>"0.023"</f>
        <v/>
      </c>
    </row>
    <row r="9">
      <c r="A9" s="4">
        <f>""</f>
        <v/>
      </c>
      <c r="B9" s="4">
        <f>""</f>
        <v/>
      </c>
      <c r="C9" s="4">
        <f>"(0.034)"</f>
        <v/>
      </c>
      <c r="D9" s="4">
        <f>"(0.034)"</f>
        <v/>
      </c>
      <c r="E9" s="4">
        <f>"(0.035)"</f>
        <v/>
      </c>
      <c r="F9" s="4">
        <f>"(0.035)"</f>
        <v/>
      </c>
      <c r="G9" s="4">
        <f>"(0.036)"</f>
        <v/>
      </c>
      <c r="H9" s="4">
        <f>"(0.035)"</f>
        <v/>
      </c>
      <c r="I9" s="4">
        <f>"(0.035)"</f>
        <v/>
      </c>
      <c r="J9" s="4">
        <f>"(0.035)"</f>
        <v/>
      </c>
      <c r="K9" s="4">
        <f>"(0.035)"</f>
        <v/>
      </c>
    </row>
    <row r="10">
      <c r="A10" s="3">
        <f>"f_mne"</f>
        <v/>
      </c>
      <c r="B10" s="3">
        <f>""</f>
        <v/>
      </c>
      <c r="C10" s="3">
        <f>""</f>
        <v/>
      </c>
      <c r="D10" s="3">
        <f>""</f>
        <v/>
      </c>
      <c r="E10" s="3">
        <f>"-0.046"</f>
        <v/>
      </c>
      <c r="F10" s="3">
        <f>"-0.064*"</f>
        <v/>
      </c>
      <c r="G10" s="3">
        <f>"-0.061*"</f>
        <v/>
      </c>
      <c r="H10" s="3">
        <f>"-0.048"</f>
        <v/>
      </c>
      <c r="I10" s="3">
        <f>"-0.050"</f>
        <v/>
      </c>
      <c r="J10" s="3">
        <f>"-0.055*"</f>
        <v/>
      </c>
      <c r="K10" s="3">
        <f>"-0.055*"</f>
        <v/>
      </c>
    </row>
    <row r="11">
      <c r="A11" s="4">
        <f>""</f>
        <v/>
      </c>
      <c r="B11" s="4">
        <f>""</f>
        <v/>
      </c>
      <c r="C11" s="4">
        <f>""</f>
        <v/>
      </c>
      <c r="D11" s="4">
        <f>""</f>
        <v/>
      </c>
      <c r="E11" s="4">
        <f>"(0.032)"</f>
        <v/>
      </c>
      <c r="F11" s="4">
        <f>"(0.033)"</f>
        <v/>
      </c>
      <c r="G11" s="4">
        <f>"(0.032)"</f>
        <v/>
      </c>
      <c r="H11" s="4">
        <f>"(0.031)"</f>
        <v/>
      </c>
      <c r="I11" s="4">
        <f>"(0.031)"</f>
        <v/>
      </c>
      <c r="J11" s="4">
        <f>"(0.031)"</f>
        <v/>
      </c>
      <c r="K11" s="4">
        <f>"(0.031)"</f>
        <v/>
      </c>
    </row>
    <row r="12">
      <c r="A12" s="3">
        <f>"f_public"</f>
        <v/>
      </c>
      <c r="B12" s="3">
        <f>""</f>
        <v/>
      </c>
      <c r="C12" s="3">
        <f>""</f>
        <v/>
      </c>
      <c r="D12" s="3">
        <f>""</f>
        <v/>
      </c>
      <c r="E12" s="3">
        <f>""</f>
        <v/>
      </c>
      <c r="F12" s="3">
        <f>"0.066**"</f>
        <v/>
      </c>
      <c r="G12" s="3">
        <f>"0.061**"</f>
        <v/>
      </c>
      <c r="H12" s="3">
        <f>"0.071**"</f>
        <v/>
      </c>
      <c r="I12" s="3">
        <f>"0.064**"</f>
        <v/>
      </c>
      <c r="J12" s="3">
        <f>"0.069**"</f>
        <v/>
      </c>
      <c r="K12" s="3">
        <f>"0.069**"</f>
        <v/>
      </c>
    </row>
    <row r="13">
      <c r="A13" s="4">
        <f>""</f>
        <v/>
      </c>
      <c r="B13" s="4">
        <f>""</f>
        <v/>
      </c>
      <c r="C13" s="4">
        <f>""</f>
        <v/>
      </c>
      <c r="D13" s="4">
        <f>""</f>
        <v/>
      </c>
      <c r="E13" s="4">
        <f>""</f>
        <v/>
      </c>
      <c r="F13" s="4">
        <f>"(0.030)"</f>
        <v/>
      </c>
      <c r="G13" s="4">
        <f>"(0.030)"</f>
        <v/>
      </c>
      <c r="H13" s="4">
        <f>"(0.029)"</f>
        <v/>
      </c>
      <c r="I13" s="4">
        <f>"(0.029)"</f>
        <v/>
      </c>
      <c r="J13" s="4">
        <f>"(0.029)"</f>
        <v/>
      </c>
      <c r="K13" s="4">
        <f>"(0.029)"</f>
        <v/>
      </c>
    </row>
    <row r="14">
      <c r="A14" s="3">
        <f>"f_union50"</f>
        <v/>
      </c>
      <c r="B14" s="3">
        <f>""</f>
        <v/>
      </c>
      <c r="C14" s="3">
        <f>""</f>
        <v/>
      </c>
      <c r="D14" s="3">
        <f>""</f>
        <v/>
      </c>
      <c r="E14" s="3">
        <f>""</f>
        <v/>
      </c>
      <c r="F14" s="3">
        <f>""</f>
        <v/>
      </c>
      <c r="G14" s="3">
        <f>"0.132***"</f>
        <v/>
      </c>
      <c r="H14" s="3">
        <f>"0.104***"</f>
        <v/>
      </c>
      <c r="I14" s="3">
        <f>"0.106***"</f>
        <v/>
      </c>
      <c r="J14" s="3">
        <f>"0.100***"</f>
        <v/>
      </c>
      <c r="K14" s="3">
        <f>"0.100***"</f>
        <v/>
      </c>
    </row>
    <row r="15">
      <c r="A15" s="4">
        <f>""</f>
        <v/>
      </c>
      <c r="B15" s="4">
        <f>""</f>
        <v/>
      </c>
      <c r="C15" s="4">
        <f>""</f>
        <v/>
      </c>
      <c r="D15" s="4">
        <f>""</f>
        <v/>
      </c>
      <c r="E15" s="4">
        <f>""</f>
        <v/>
      </c>
      <c r="F15" s="4">
        <f>""</f>
        <v/>
      </c>
      <c r="G15" s="4">
        <f>"(0.033)"</f>
        <v/>
      </c>
      <c r="H15" s="4">
        <f>"(0.033)"</f>
        <v/>
      </c>
      <c r="I15" s="4">
        <f>"(0.033)"</f>
        <v/>
      </c>
      <c r="J15" s="4">
        <f>"(0.033)"</f>
        <v/>
      </c>
      <c r="K15" s="4">
        <f>"(0.033)"</f>
        <v/>
      </c>
    </row>
    <row r="16">
      <c r="A16" s="3">
        <f>"1.clusplot2"</f>
        <v/>
      </c>
      <c r="B16" s="3">
        <f>""</f>
        <v/>
      </c>
      <c r="C16" s="3">
        <f>""</f>
        <v/>
      </c>
      <c r="D16" s="3">
        <f>""</f>
        <v/>
      </c>
      <c r="E16" s="3">
        <f>""</f>
        <v/>
      </c>
      <c r="F16" s="3">
        <f>""</f>
        <v/>
      </c>
      <c r="G16" s="3">
        <f>""</f>
        <v/>
      </c>
      <c r="H16" s="3">
        <f>"0.000"</f>
        <v/>
      </c>
      <c r="I16" s="3">
        <f>"0.000"</f>
        <v/>
      </c>
      <c r="J16" s="3">
        <f>"0.000"</f>
        <v/>
      </c>
      <c r="K16" s="3">
        <f>"0.000"</f>
        <v/>
      </c>
    </row>
    <row r="17">
      <c r="A17" s="4">
        <f>""</f>
        <v/>
      </c>
      <c r="B17" s="4">
        <f>""</f>
        <v/>
      </c>
      <c r="C17" s="4">
        <f>""</f>
        <v/>
      </c>
      <c r="D17" s="4">
        <f>""</f>
        <v/>
      </c>
      <c r="E17" s="4">
        <f>""</f>
        <v/>
      </c>
      <c r="F17" s="4">
        <f>""</f>
        <v/>
      </c>
      <c r="G17" s="4">
        <f>""</f>
        <v/>
      </c>
      <c r="H17" s="4">
        <f>"(.)"</f>
        <v/>
      </c>
      <c r="I17" s="4">
        <f>"(.)"</f>
        <v/>
      </c>
      <c r="J17" s="4">
        <f>"(.)"</f>
        <v/>
      </c>
      <c r="K17" s="4">
        <f>"(.)"</f>
        <v/>
      </c>
    </row>
    <row r="18">
      <c r="A18" s="3">
        <f>"2.clusplot2"</f>
        <v/>
      </c>
      <c r="B18" s="3">
        <f>""</f>
        <v/>
      </c>
      <c r="C18" s="3">
        <f>""</f>
        <v/>
      </c>
      <c r="D18" s="3">
        <f>""</f>
        <v/>
      </c>
      <c r="E18" s="3">
        <f>""</f>
        <v/>
      </c>
      <c r="F18" s="3">
        <f>""</f>
        <v/>
      </c>
      <c r="G18" s="3">
        <f>""</f>
        <v/>
      </c>
      <c r="H18" s="3">
        <f>"0.231***"</f>
        <v/>
      </c>
      <c r="I18" s="3">
        <f>"0.227***"</f>
        <v/>
      </c>
      <c r="J18" s="3">
        <f>"0.225***"</f>
        <v/>
      </c>
      <c r="K18" s="3">
        <f>"0.225***"</f>
        <v/>
      </c>
    </row>
    <row r="19">
      <c r="A19" s="4">
        <f>""</f>
        <v/>
      </c>
      <c r="B19" s="4">
        <f>""</f>
        <v/>
      </c>
      <c r="C19" s="4">
        <f>""</f>
        <v/>
      </c>
      <c r="D19" s="4">
        <f>""</f>
        <v/>
      </c>
      <c r="E19" s="4">
        <f>""</f>
        <v/>
      </c>
      <c r="F19" s="4">
        <f>""</f>
        <v/>
      </c>
      <c r="G19" s="4">
        <f>""</f>
        <v/>
      </c>
      <c r="H19" s="4">
        <f>"(0.041)"</f>
        <v/>
      </c>
      <c r="I19" s="4">
        <f>"(0.041)"</f>
        <v/>
      </c>
      <c r="J19" s="4">
        <f>"(0.041)"</f>
        <v/>
      </c>
      <c r="K19" s="4">
        <f>"(0.041)"</f>
        <v/>
      </c>
    </row>
    <row r="20">
      <c r="A20" s="3">
        <f>"3.clusplot2"</f>
        <v/>
      </c>
      <c r="B20" s="3">
        <f>""</f>
        <v/>
      </c>
      <c r="C20" s="3">
        <f>""</f>
        <v/>
      </c>
      <c r="D20" s="3">
        <f>""</f>
        <v/>
      </c>
      <c r="E20" s="3">
        <f>""</f>
        <v/>
      </c>
      <c r="F20" s="3">
        <f>""</f>
        <v/>
      </c>
      <c r="G20" s="3">
        <f>""</f>
        <v/>
      </c>
      <c r="H20" s="3">
        <f>"-0.068"</f>
        <v/>
      </c>
      <c r="I20" s="3">
        <f>"-0.064"</f>
        <v/>
      </c>
      <c r="J20" s="3">
        <f>"-0.057"</f>
        <v/>
      </c>
      <c r="K20" s="3">
        <f>"-0.057"</f>
        <v/>
      </c>
    </row>
    <row r="21">
      <c r="A21" s="4">
        <f>""</f>
        <v/>
      </c>
      <c r="B21" s="4">
        <f>""</f>
        <v/>
      </c>
      <c r="C21" s="4">
        <f>""</f>
        <v/>
      </c>
      <c r="D21" s="4">
        <f>""</f>
        <v/>
      </c>
      <c r="E21" s="4">
        <f>""</f>
        <v/>
      </c>
      <c r="F21" s="4">
        <f>""</f>
        <v/>
      </c>
      <c r="G21" s="4">
        <f>""</f>
        <v/>
      </c>
      <c r="H21" s="4">
        <f>"(0.042)"</f>
        <v/>
      </c>
      <c r="I21" s="4">
        <f>"(0.042)"</f>
        <v/>
      </c>
      <c r="J21" s="4">
        <f>"(0.042)"</f>
        <v/>
      </c>
      <c r="K21" s="4">
        <f>"(0.042)"</f>
        <v/>
      </c>
    </row>
    <row r="22">
      <c r="A22" s="3">
        <f>"4.clusplot2"</f>
        <v/>
      </c>
      <c r="B22" s="3">
        <f>""</f>
        <v/>
      </c>
      <c r="C22" s="3">
        <f>""</f>
        <v/>
      </c>
      <c r="D22" s="3">
        <f>""</f>
        <v/>
      </c>
      <c r="E22" s="3">
        <f>""</f>
        <v/>
      </c>
      <c r="F22" s="3">
        <f>""</f>
        <v/>
      </c>
      <c r="G22" s="3">
        <f>""</f>
        <v/>
      </c>
      <c r="H22" s="3">
        <f>"-0.188***"</f>
        <v/>
      </c>
      <c r="I22" s="3">
        <f>"-0.187***"</f>
        <v/>
      </c>
      <c r="J22" s="3">
        <f>"-0.173***"</f>
        <v/>
      </c>
      <c r="K22" s="3">
        <f>"-0.173***"</f>
        <v/>
      </c>
    </row>
    <row r="23">
      <c r="A23" s="4">
        <f>""</f>
        <v/>
      </c>
      <c r="B23" s="4">
        <f>""</f>
        <v/>
      </c>
      <c r="C23" s="4">
        <f>""</f>
        <v/>
      </c>
      <c r="D23" s="4">
        <f>""</f>
        <v/>
      </c>
      <c r="E23" s="4">
        <f>""</f>
        <v/>
      </c>
      <c r="F23" s="4">
        <f>""</f>
        <v/>
      </c>
      <c r="G23" s="4">
        <f>""</f>
        <v/>
      </c>
      <c r="H23" s="4">
        <f>"(0.046)"</f>
        <v/>
      </c>
      <c r="I23" s="4">
        <f>"(0.046)"</f>
        <v/>
      </c>
      <c r="J23" s="4">
        <f>"(0.046)"</f>
        <v/>
      </c>
      <c r="K23" s="4">
        <f>"(0.046)"</f>
        <v/>
      </c>
    </row>
    <row r="24">
      <c r="A24" s="3">
        <f>"5.clusplot2"</f>
        <v/>
      </c>
      <c r="B24" s="3">
        <f>""</f>
        <v/>
      </c>
      <c r="C24" s="3">
        <f>""</f>
        <v/>
      </c>
      <c r="D24" s="3">
        <f>""</f>
        <v/>
      </c>
      <c r="E24" s="3">
        <f>""</f>
        <v/>
      </c>
      <c r="F24" s="3">
        <f>""</f>
        <v/>
      </c>
      <c r="G24" s="3">
        <f>""</f>
        <v/>
      </c>
      <c r="H24" s="3">
        <f>"-0.098**"</f>
        <v/>
      </c>
      <c r="I24" s="3">
        <f>"-0.096**"</f>
        <v/>
      </c>
      <c r="J24" s="3">
        <f>"-0.060"</f>
        <v/>
      </c>
      <c r="K24" s="3">
        <f>"-0.060"</f>
        <v/>
      </c>
    </row>
    <row r="25">
      <c r="A25" s="4">
        <f>""</f>
        <v/>
      </c>
      <c r="B25" s="4">
        <f>""</f>
        <v/>
      </c>
      <c r="C25" s="4">
        <f>""</f>
        <v/>
      </c>
      <c r="D25" s="4">
        <f>""</f>
        <v/>
      </c>
      <c r="E25" s="4">
        <f>""</f>
        <v/>
      </c>
      <c r="F25" s="4">
        <f>""</f>
        <v/>
      </c>
      <c r="G25" s="4">
        <f>""</f>
        <v/>
      </c>
      <c r="H25" s="4">
        <f>"(0.042)"</f>
        <v/>
      </c>
      <c r="I25" s="4">
        <f>"(0.042)"</f>
        <v/>
      </c>
      <c r="J25" s="4">
        <f>"(0.043)"</f>
        <v/>
      </c>
      <c r="K25" s="4">
        <f>"(0.043)"</f>
        <v/>
      </c>
    </row>
    <row r="26">
      <c r="A26" s="3">
        <f>"hr_indexD_total"</f>
        <v/>
      </c>
      <c r="B26" s="3">
        <f>""</f>
        <v/>
      </c>
      <c r="C26" s="3">
        <f>""</f>
        <v/>
      </c>
      <c r="D26" s="3">
        <f>""</f>
        <v/>
      </c>
      <c r="E26" s="3">
        <f>""</f>
        <v/>
      </c>
      <c r="F26" s="3">
        <f>""</f>
        <v/>
      </c>
      <c r="G26" s="3">
        <f>""</f>
        <v/>
      </c>
      <c r="H26" s="3">
        <f>""</f>
        <v/>
      </c>
      <c r="I26" s="3">
        <f>"0.017"</f>
        <v/>
      </c>
      <c r="J26" s="3">
        <f>"0.018*"</f>
        <v/>
      </c>
      <c r="K26" s="3">
        <f>"0.018*"</f>
        <v/>
      </c>
    </row>
    <row r="27">
      <c r="A27" s="4">
        <f>""</f>
        <v/>
      </c>
      <c r="B27" s="4">
        <f>""</f>
        <v/>
      </c>
      <c r="C27" s="4">
        <f>""</f>
        <v/>
      </c>
      <c r="D27" s="4">
        <f>""</f>
        <v/>
      </c>
      <c r="E27" s="4">
        <f>""</f>
        <v/>
      </c>
      <c r="F27" s="4">
        <f>""</f>
        <v/>
      </c>
      <c r="G27" s="4">
        <f>""</f>
        <v/>
      </c>
      <c r="H27" s="4">
        <f>""</f>
        <v/>
      </c>
      <c r="I27" s="4">
        <f>"(0.011)"</f>
        <v/>
      </c>
      <c r="J27" s="4">
        <f>"(0.011)"</f>
        <v/>
      </c>
      <c r="K27" s="4">
        <f>"(0.011)"</f>
        <v/>
      </c>
    </row>
    <row r="28">
      <c r="A28" s="3">
        <f>"sk_gap_sev"</f>
        <v/>
      </c>
      <c r="B28" s="3">
        <f>""</f>
        <v/>
      </c>
      <c r="C28" s="3">
        <f>""</f>
        <v/>
      </c>
      <c r="D28" s="3">
        <f>""</f>
        <v/>
      </c>
      <c r="E28" s="3">
        <f>""</f>
        <v/>
      </c>
      <c r="F28" s="3">
        <f>""</f>
        <v/>
      </c>
      <c r="G28" s="3">
        <f>""</f>
        <v/>
      </c>
      <c r="H28" s="3">
        <f>""</f>
        <v/>
      </c>
      <c r="I28" s="3">
        <f>""</f>
        <v/>
      </c>
      <c r="J28" s="3">
        <f>"0.099***"</f>
        <v/>
      </c>
      <c r="K28" s="3">
        <f>"0.099***"</f>
        <v/>
      </c>
    </row>
    <row r="29">
      <c r="A29" s="4">
        <f>""</f>
        <v/>
      </c>
      <c r="B29" s="4">
        <f>""</f>
        <v/>
      </c>
      <c r="C29" s="4">
        <f>""</f>
        <v/>
      </c>
      <c r="D29" s="4">
        <f>""</f>
        <v/>
      </c>
      <c r="E29" s="4">
        <f>""</f>
        <v/>
      </c>
      <c r="F29" s="4">
        <f>""</f>
        <v/>
      </c>
      <c r="G29" s="4">
        <f>""</f>
        <v/>
      </c>
      <c r="H29" s="4">
        <f>""</f>
        <v/>
      </c>
      <c r="I29" s="4">
        <f>""</f>
        <v/>
      </c>
      <c r="J29" s="4">
        <f>"(0.035)"</f>
        <v/>
      </c>
      <c r="K29" s="4">
        <f>"(0.035)"</f>
        <v/>
      </c>
    </row>
    <row r="30">
      <c r="A30" s="3">
        <f>"N"</f>
        <v/>
      </c>
      <c r="B30" s="3">
        <f>"1209"</f>
        <v/>
      </c>
      <c r="C30" s="3">
        <f>"1209"</f>
        <v/>
      </c>
      <c r="D30" s="3">
        <f>"1209"</f>
        <v/>
      </c>
      <c r="E30" s="3">
        <f>"1209"</f>
        <v/>
      </c>
      <c r="F30" s="3">
        <f>"1209"</f>
        <v/>
      </c>
      <c r="G30" s="3">
        <f>"1209"</f>
        <v/>
      </c>
      <c r="H30" s="3">
        <f>"1209"</f>
        <v/>
      </c>
      <c r="I30" s="3">
        <f>"1209"</f>
        <v/>
      </c>
      <c r="J30" s="3">
        <f>"1209"</f>
        <v/>
      </c>
      <c r="K30" s="3">
        <f>"1209"</f>
        <v/>
      </c>
    </row>
    <row r="31">
      <c r="A31" s="4">
        <f>"Adjusted R-squared"</f>
        <v/>
      </c>
      <c r="B31" s="4">
        <f>"0.000"</f>
        <v/>
      </c>
      <c r="C31" s="4">
        <f>"0.037"</f>
        <v/>
      </c>
      <c r="D31" s="4">
        <f>"0.043"</f>
        <v/>
      </c>
      <c r="E31" s="4">
        <f>"0.044"</f>
        <v/>
      </c>
      <c r="F31" s="4">
        <f>"0.047"</f>
        <v/>
      </c>
      <c r="G31" s="4">
        <f>"0.058"</f>
        <v/>
      </c>
      <c r="H31" s="4">
        <f>"0.111"</f>
        <v/>
      </c>
      <c r="I31" s="4">
        <f>"0.112"</f>
        <v/>
      </c>
      <c r="J31" s="4">
        <f>"0.117"</f>
        <v/>
      </c>
      <c r="K31" s="4">
        <f>"0.117"</f>
        <v/>
      </c>
    </row>
    <row r="32">
      <c r="A32" s="3">
        <f>"Standard errors in parentheses"</f>
        <v/>
      </c>
      <c r="B32" s="6" t="n">
        <v/>
      </c>
      <c r="C32" s="6" t="n">
        <v/>
      </c>
      <c r="D32" s="6" t="n">
        <v/>
      </c>
      <c r="E32" s="6" t="n">
        <v/>
      </c>
      <c r="F32" s="6" t="n">
        <v/>
      </c>
      <c r="G32" s="6" t="n">
        <v/>
      </c>
      <c r="H32" s="6" t="n">
        <v/>
      </c>
      <c r="I32" s="6" t="n">
        <v/>
      </c>
      <c r="J32" s="6" t="n">
        <v/>
      </c>
      <c r="K32" s="6" t="n">
        <v/>
      </c>
    </row>
    <row r="33">
      <c r="A33" s="4">
        <f>"* p&lt;0.10</f>
        <v/>
      </c>
      <c r="B33" s="4" t="inlineStr">
        <is>
          <t xml:space="preserve"> ** p&lt;0.05</t>
        </is>
      </c>
      <c r="C33" s="4" t="inlineStr">
        <is>
          <t xml:space="preserve"> *** p&lt;0.01"</t>
        </is>
      </c>
      <c r="D33" s="7" t="n">
        <v/>
      </c>
      <c r="E33" s="7" t="n">
        <v/>
      </c>
      <c r="F33" s="7" t="n">
        <v/>
      </c>
      <c r="G33" s="7" t="n">
        <v/>
      </c>
      <c r="H33" s="7" t="n">
        <v/>
      </c>
      <c r="I33" s="7" t="n">
        <v/>
      </c>
      <c r="J33" s="7" t="n">
        <v/>
      </c>
      <c r="K33" s="7" t="n">
        <v/>
      </c>
    </row>
    <row r="34"/>
    <row r="35"/>
    <row r="36">
      <c r="A36" s="5" t="inlineStr">
        <is>
          <t>Variable Descriptions</t>
        </is>
      </c>
    </row>
    <row r="37">
      <c r="A37" s="2" t="inlineStr">
        <is>
          <t>Variable</t>
        </is>
      </c>
      <c r="B37" s="2" t="inlineStr">
        <is>
          <t>Description</t>
        </is>
      </c>
    </row>
    <row r="38">
      <c r="A38" s="3" t="inlineStr">
        <is>
          <t>f_medium</t>
        </is>
      </c>
      <c r="B38" s="3" t="inlineStr">
        <is>
          <t>Medium-sized firms (reference: small firms)</t>
        </is>
      </c>
    </row>
    <row r="39">
      <c r="A39" s="4" t="inlineStr">
        <is>
          <t>f_large</t>
        </is>
      </c>
      <c r="B39" s="4" t="inlineStr">
        <is>
          <t>Large-sized firms (reference: small firms)</t>
        </is>
      </c>
    </row>
    <row r="40">
      <c r="A40" s="3" t="inlineStr">
        <is>
          <t>f_mne</t>
        </is>
      </c>
      <c r="B40" s="3" t="inlineStr">
        <is>
          <t>Multinational enterprise dummy</t>
        </is>
      </c>
    </row>
    <row r="41">
      <c r="A41" s="4" t="inlineStr">
        <is>
          <t>f_public</t>
        </is>
      </c>
      <c r="B41" s="4" t="inlineStr">
        <is>
          <t>Publicly listed company dummy</t>
        </is>
      </c>
    </row>
    <row r="42">
      <c r="A42" s="3" t="inlineStr">
        <is>
          <t>f_union50</t>
        </is>
      </c>
      <c r="B42" s="3" t="inlineStr">
        <is>
          <t>High union presence (&gt;50%)</t>
        </is>
      </c>
    </row>
    <row r="43">
      <c r="A43" s="4" t="inlineStr">
        <is>
          <t>hr_indexD_total</t>
        </is>
      </c>
      <c r="B43" s="4" t="inlineStr">
        <is>
          <t>HR practices index (total score)</t>
        </is>
      </c>
    </row>
    <row r="44">
      <c r="A44" s="3" t="inlineStr">
        <is>
          <t>sk_gap_sev</t>
        </is>
      </c>
      <c r="B44" s="3" t="inlineStr">
        <is>
          <t>Severe skills gap dummy</t>
        </is>
      </c>
    </row>
    <row r="45">
      <c r="A45" s="4" t="inlineStr">
        <is>
          <t>clusplot2</t>
        </is>
      </c>
      <c r="B45" s="4" t="inlineStr">
        <is>
          <t>Skill needs cluster typology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Regression with Cluster as Dependent Variable</t>
        </is>
      </c>
    </row>
    <row r="2"/>
    <row r="3">
      <c r="A3" s="5" t="inlineStr">
        <is>
          <t>Cluster Regression Results</t>
        </is>
      </c>
    </row>
    <row r="4">
      <c r="A4" s="2">
        <f>""</f>
        <v/>
      </c>
      <c r="B4" s="2">
        <f>"(1)"</f>
        <v/>
      </c>
      <c r="C4" s="2">
        <f>"(2)"</f>
        <v/>
      </c>
      <c r="D4" s="2">
        <f>"(3)"</f>
        <v/>
      </c>
      <c r="E4" s="2">
        <f>"(4)"</f>
        <v/>
      </c>
      <c r="F4" s="2">
        <f>"(5)"</f>
        <v/>
      </c>
      <c r="G4" s="2">
        <f>"(6)"</f>
        <v/>
      </c>
      <c r="H4" s="2">
        <f>"(7)"</f>
        <v/>
      </c>
      <c r="I4" s="2">
        <f>"(8)"</f>
        <v/>
      </c>
      <c r="J4" s="2">
        <f>"(9)"</f>
        <v/>
      </c>
      <c r="K4" s="2">
        <f>"(10)"</f>
        <v/>
      </c>
    </row>
    <row r="5">
      <c r="A5" s="4">
        <f>""</f>
        <v/>
      </c>
      <c r="B5" s="4">
        <f>"cluster_2"</f>
        <v/>
      </c>
      <c r="C5" s="4">
        <f>"cluster_2"</f>
        <v/>
      </c>
      <c r="D5" s="4">
        <f>"cluster_2"</f>
        <v/>
      </c>
      <c r="E5" s="4">
        <f>"cluster_2"</f>
        <v/>
      </c>
      <c r="F5" s="4">
        <f>"cluster_2"</f>
        <v/>
      </c>
      <c r="G5" s="4">
        <f>"cluster_2"</f>
        <v/>
      </c>
      <c r="H5" s="4">
        <f>"cluster_2"</f>
        <v/>
      </c>
      <c r="I5" s="4">
        <f>"cluster_2"</f>
        <v/>
      </c>
      <c r="J5" s="4">
        <f>"cluster_2"</f>
        <v/>
      </c>
      <c r="K5" s="4">
        <f>"cluster_2"</f>
        <v/>
      </c>
    </row>
    <row r="6">
      <c r="A6" s="3">
        <f>"f_medium"</f>
        <v/>
      </c>
      <c r="B6" s="3">
        <f>""</f>
        <v/>
      </c>
      <c r="C6" s="3">
        <f>"-0.387***"</f>
        <v/>
      </c>
      <c r="D6" s="3">
        <f>"-0.378***"</f>
        <v/>
      </c>
      <c r="E6" s="3">
        <f>"-0.379***"</f>
        <v/>
      </c>
      <c r="F6" s="3">
        <f>"-0.373***"</f>
        <v/>
      </c>
      <c r="G6" s="3">
        <f>"-0.363***"</f>
        <v/>
      </c>
      <c r="H6" s="3">
        <f>"-0.349***"</f>
        <v/>
      </c>
      <c r="I6" s="3">
        <f>"-0.350***"</f>
        <v/>
      </c>
      <c r="J6" s="3">
        <f>"-0.347***"</f>
        <v/>
      </c>
      <c r="K6" s="3">
        <f>"-0.347***"</f>
        <v/>
      </c>
    </row>
    <row r="7">
      <c r="A7" s="4">
        <f>""</f>
        <v/>
      </c>
      <c r="B7" s="4">
        <f>""</f>
        <v/>
      </c>
      <c r="C7" s="4">
        <f>"(0.036)"</f>
        <v/>
      </c>
      <c r="D7" s="4">
        <f>"(0.037)"</f>
        <v/>
      </c>
      <c r="E7" s="4">
        <f>"(0.037)"</f>
        <v/>
      </c>
      <c r="F7" s="4">
        <f>"(0.037)"</f>
        <v/>
      </c>
      <c r="G7" s="4">
        <f>"(0.037)"</f>
        <v/>
      </c>
      <c r="H7" s="4">
        <f>"(0.038)"</f>
        <v/>
      </c>
      <c r="I7" s="4">
        <f>"(0.037)"</f>
        <v/>
      </c>
      <c r="J7" s="4">
        <f>"(0.037)"</f>
        <v/>
      </c>
      <c r="K7" s="4">
        <f>"(0.037)"</f>
        <v/>
      </c>
    </row>
    <row r="8">
      <c r="A8" s="3">
        <f>"f_large"</f>
        <v/>
      </c>
      <c r="B8" s="3">
        <f>""</f>
        <v/>
      </c>
      <c r="C8" s="3">
        <f>"-0.238***"</f>
        <v/>
      </c>
      <c r="D8" s="3">
        <f>"-0.238***"</f>
        <v/>
      </c>
      <c r="E8" s="3">
        <f>"-0.235***"</f>
        <v/>
      </c>
      <c r="F8" s="3">
        <f>"-0.217***"</f>
        <v/>
      </c>
      <c r="G8" s="3">
        <f>"-0.204***"</f>
        <v/>
      </c>
      <c r="H8" s="3">
        <f>"-0.198***"</f>
        <v/>
      </c>
      <c r="I8" s="3">
        <f>"-0.208***"</f>
        <v/>
      </c>
      <c r="J8" s="3">
        <f>"-0.204***"</f>
        <v/>
      </c>
      <c r="K8" s="3">
        <f>"-0.204***"</f>
        <v/>
      </c>
    </row>
    <row r="9">
      <c r="A9" s="4">
        <f>""</f>
        <v/>
      </c>
      <c r="B9" s="4">
        <f>""</f>
        <v/>
      </c>
      <c r="C9" s="4">
        <f>"(0.034)"</f>
        <v/>
      </c>
      <c r="D9" s="4">
        <f>"(0.034)"</f>
        <v/>
      </c>
      <c r="E9" s="4">
        <f>"(0.035)"</f>
        <v/>
      </c>
      <c r="F9" s="4">
        <f>"(0.035)"</f>
        <v/>
      </c>
      <c r="G9" s="4">
        <f>"(0.035)"</f>
        <v/>
      </c>
      <c r="H9" s="4">
        <f>"(0.036)"</f>
        <v/>
      </c>
      <c r="I9" s="4">
        <f>"(0.035)"</f>
        <v/>
      </c>
      <c r="J9" s="4">
        <f>"(0.035)"</f>
        <v/>
      </c>
      <c r="K9" s="4">
        <f>"(0.035)"</f>
        <v/>
      </c>
    </row>
    <row r="10">
      <c r="A10" s="3">
        <f>"f_mne"</f>
        <v/>
      </c>
      <c r="B10" s="3">
        <f>""</f>
        <v/>
      </c>
      <c r="C10" s="3">
        <f>""</f>
        <v/>
      </c>
      <c r="D10" s="3">
        <f>""</f>
        <v/>
      </c>
      <c r="E10" s="3">
        <f>"-0.016"</f>
        <v/>
      </c>
      <c r="F10" s="3">
        <f>"0.006"</f>
        <v/>
      </c>
      <c r="G10" s="3">
        <f>"0.004"</f>
        <v/>
      </c>
      <c r="H10" s="3">
        <f>"0.002"</f>
        <v/>
      </c>
      <c r="I10" s="3">
        <f>"0.004"</f>
        <v/>
      </c>
      <c r="J10" s="3">
        <f>"0.001"</f>
        <v/>
      </c>
      <c r="K10" s="3">
        <f>"0.001"</f>
        <v/>
      </c>
    </row>
    <row r="11">
      <c r="A11" s="4">
        <f>""</f>
        <v/>
      </c>
      <c r="B11" s="4">
        <f>""</f>
        <v/>
      </c>
      <c r="C11" s="4">
        <f>""</f>
        <v/>
      </c>
      <c r="D11" s="4">
        <f>""</f>
        <v/>
      </c>
      <c r="E11" s="4">
        <f>"(0.032)"</f>
        <v/>
      </c>
      <c r="F11" s="4">
        <f>"(0.033)"</f>
        <v/>
      </c>
      <c r="G11" s="4">
        <f>"(0.033)"</f>
        <v/>
      </c>
      <c r="H11" s="4">
        <f>"(0.032)"</f>
        <v/>
      </c>
      <c r="I11" s="4">
        <f>"(0.032)"</f>
        <v/>
      </c>
      <c r="J11" s="4">
        <f>"(0.033)"</f>
        <v/>
      </c>
      <c r="K11" s="4">
        <f>"(0.033)"</f>
        <v/>
      </c>
    </row>
    <row r="12">
      <c r="A12" s="3">
        <f>"f_public"</f>
        <v/>
      </c>
      <c r="B12" s="3">
        <f>""</f>
        <v/>
      </c>
      <c r="C12" s="3">
        <f>""</f>
        <v/>
      </c>
      <c r="D12" s="3">
        <f>""</f>
        <v/>
      </c>
      <c r="E12" s="3">
        <f>""</f>
        <v/>
      </c>
      <c r="F12" s="3">
        <f>"-0.084***"</f>
        <v/>
      </c>
      <c r="G12" s="3">
        <f>"-0.080***"</f>
        <v/>
      </c>
      <c r="H12" s="3">
        <f>"-0.086***"</f>
        <v/>
      </c>
      <c r="I12" s="3">
        <f>"-0.069**"</f>
        <v/>
      </c>
      <c r="J12" s="3">
        <f>"-0.067**"</f>
        <v/>
      </c>
      <c r="K12" s="3">
        <f>"-0.067**"</f>
        <v/>
      </c>
    </row>
    <row r="13">
      <c r="A13" s="4">
        <f>""</f>
        <v/>
      </c>
      <c r="B13" s="4">
        <f>""</f>
        <v/>
      </c>
      <c r="C13" s="4">
        <f>""</f>
        <v/>
      </c>
      <c r="D13" s="4">
        <f>""</f>
        <v/>
      </c>
      <c r="E13" s="4">
        <f>""</f>
        <v/>
      </c>
      <c r="F13" s="4">
        <f>"(0.030)"</f>
        <v/>
      </c>
      <c r="G13" s="4">
        <f>"(0.030)"</f>
        <v/>
      </c>
      <c r="H13" s="4">
        <f>"(0.030)"</f>
        <v/>
      </c>
      <c r="I13" s="4">
        <f>"(0.030)"</f>
        <v/>
      </c>
      <c r="J13" s="4">
        <f>"(0.030)"</f>
        <v/>
      </c>
      <c r="K13" s="4">
        <f>"(0.030)"</f>
        <v/>
      </c>
    </row>
    <row r="14">
      <c r="A14" s="3">
        <f>"f_union50"</f>
        <v/>
      </c>
      <c r="B14" s="3">
        <f>""</f>
        <v/>
      </c>
      <c r="C14" s="3">
        <f>""</f>
        <v/>
      </c>
      <c r="D14" s="3">
        <f>""</f>
        <v/>
      </c>
      <c r="E14" s="3">
        <f>""</f>
        <v/>
      </c>
      <c r="F14" s="3">
        <f>""</f>
        <v/>
      </c>
      <c r="G14" s="3">
        <f>"-0.125***"</f>
        <v/>
      </c>
      <c r="H14" s="3">
        <f>"-0.121***"</f>
        <v/>
      </c>
      <c r="I14" s="3">
        <f>"-0.126***"</f>
        <v/>
      </c>
      <c r="J14" s="3">
        <f>"-0.129***"</f>
        <v/>
      </c>
      <c r="K14" s="3">
        <f>"-0.129***"</f>
        <v/>
      </c>
    </row>
    <row r="15">
      <c r="A15" s="4">
        <f>""</f>
        <v/>
      </c>
      <c r="B15" s="4">
        <f>""</f>
        <v/>
      </c>
      <c r="C15" s="4">
        <f>""</f>
        <v/>
      </c>
      <c r="D15" s="4">
        <f>""</f>
        <v/>
      </c>
      <c r="E15" s="4">
        <f>""</f>
        <v/>
      </c>
      <c r="F15" s="4">
        <f>""</f>
        <v/>
      </c>
      <c r="G15" s="4">
        <f>"(0.033)"</f>
        <v/>
      </c>
      <c r="H15" s="4">
        <f>"(0.033)"</f>
        <v/>
      </c>
      <c r="I15" s="4">
        <f>"(0.033)"</f>
        <v/>
      </c>
      <c r="J15" s="4">
        <f>"(0.033)"</f>
        <v/>
      </c>
      <c r="K15" s="4">
        <f>"(0.033)"</f>
        <v/>
      </c>
    </row>
    <row r="16">
      <c r="A16" s="3">
        <f>"1.clusplot2"</f>
        <v/>
      </c>
      <c r="B16" s="3">
        <f>""</f>
        <v/>
      </c>
      <c r="C16" s="3">
        <f>""</f>
        <v/>
      </c>
      <c r="D16" s="3">
        <f>""</f>
        <v/>
      </c>
      <c r="E16" s="3">
        <f>""</f>
        <v/>
      </c>
      <c r="F16" s="3">
        <f>""</f>
        <v/>
      </c>
      <c r="G16" s="3">
        <f>""</f>
        <v/>
      </c>
      <c r="H16" s="3">
        <f>"0.000"</f>
        <v/>
      </c>
      <c r="I16" s="3">
        <f>"0.000"</f>
        <v/>
      </c>
      <c r="J16" s="3">
        <f>"0.000"</f>
        <v/>
      </c>
      <c r="K16" s="3">
        <f>"0.000"</f>
        <v/>
      </c>
    </row>
    <row r="17">
      <c r="A17" s="4">
        <f>""</f>
        <v/>
      </c>
      <c r="B17" s="4">
        <f>""</f>
        <v/>
      </c>
      <c r="C17" s="4">
        <f>""</f>
        <v/>
      </c>
      <c r="D17" s="4">
        <f>""</f>
        <v/>
      </c>
      <c r="E17" s="4">
        <f>""</f>
        <v/>
      </c>
      <c r="F17" s="4">
        <f>""</f>
        <v/>
      </c>
      <c r="G17" s="4">
        <f>""</f>
        <v/>
      </c>
      <c r="H17" s="4">
        <f>"(.)"</f>
        <v/>
      </c>
      <c r="I17" s="4">
        <f>"(.)"</f>
        <v/>
      </c>
      <c r="J17" s="4">
        <f>"(.)"</f>
        <v/>
      </c>
      <c r="K17" s="4">
        <f>"(.)"</f>
        <v/>
      </c>
    </row>
    <row r="18">
      <c r="A18" s="3">
        <f>"2.clusplot2"</f>
        <v/>
      </c>
      <c r="B18" s="3">
        <f>""</f>
        <v/>
      </c>
      <c r="C18" s="3">
        <f>""</f>
        <v/>
      </c>
      <c r="D18" s="3">
        <f>""</f>
        <v/>
      </c>
      <c r="E18" s="3">
        <f>""</f>
        <v/>
      </c>
      <c r="F18" s="3">
        <f>""</f>
        <v/>
      </c>
      <c r="G18" s="3">
        <f>""</f>
        <v/>
      </c>
      <c r="H18" s="3">
        <f>"-0.117**"</f>
        <v/>
      </c>
      <c r="I18" s="3">
        <f>"-0.108**"</f>
        <v/>
      </c>
      <c r="J18" s="3">
        <f>"-0.109**"</f>
        <v/>
      </c>
      <c r="K18" s="3">
        <f>"-0.109**"</f>
        <v/>
      </c>
    </row>
    <row r="19">
      <c r="A19" s="4">
        <f>""</f>
        <v/>
      </c>
      <c r="B19" s="4">
        <f>""</f>
        <v/>
      </c>
      <c r="C19" s="4">
        <f>""</f>
        <v/>
      </c>
      <c r="D19" s="4">
        <f>""</f>
        <v/>
      </c>
      <c r="E19" s="4">
        <f>""</f>
        <v/>
      </c>
      <c r="F19" s="4">
        <f>""</f>
        <v/>
      </c>
      <c r="G19" s="4">
        <f>""</f>
        <v/>
      </c>
      <c r="H19" s="4">
        <f>"(0.048)"</f>
        <v/>
      </c>
      <c r="I19" s="4">
        <f>"(0.048)"</f>
        <v/>
      </c>
      <c r="J19" s="4">
        <f>"(0.048)"</f>
        <v/>
      </c>
      <c r="K19" s="4">
        <f>"(0.048)"</f>
        <v/>
      </c>
    </row>
    <row r="20">
      <c r="A20" s="3">
        <f>"3.clusplot2"</f>
        <v/>
      </c>
      <c r="B20" s="3">
        <f>""</f>
        <v/>
      </c>
      <c r="C20" s="3">
        <f>""</f>
        <v/>
      </c>
      <c r="D20" s="3">
        <f>""</f>
        <v/>
      </c>
      <c r="E20" s="3">
        <f>""</f>
        <v/>
      </c>
      <c r="F20" s="3">
        <f>""</f>
        <v/>
      </c>
      <c r="G20" s="3">
        <f>""</f>
        <v/>
      </c>
      <c r="H20" s="3">
        <f>"0.027"</f>
        <v/>
      </c>
      <c r="I20" s="3">
        <f>"0.017"</f>
        <v/>
      </c>
      <c r="J20" s="3">
        <f>"0.020"</f>
        <v/>
      </c>
      <c r="K20" s="3">
        <f>"0.020"</f>
        <v/>
      </c>
    </row>
    <row r="21">
      <c r="A21" s="4">
        <f>""</f>
        <v/>
      </c>
      <c r="B21" s="4">
        <f>""</f>
        <v/>
      </c>
      <c r="C21" s="4">
        <f>""</f>
        <v/>
      </c>
      <c r="D21" s="4">
        <f>""</f>
        <v/>
      </c>
      <c r="E21" s="4">
        <f>""</f>
        <v/>
      </c>
      <c r="F21" s="4">
        <f>""</f>
        <v/>
      </c>
      <c r="G21" s="4">
        <f>""</f>
        <v/>
      </c>
      <c r="H21" s="4">
        <f>"(0.042)"</f>
        <v/>
      </c>
      <c r="I21" s="4">
        <f>"(0.042)"</f>
        <v/>
      </c>
      <c r="J21" s="4">
        <f>"(0.042)"</f>
        <v/>
      </c>
      <c r="K21" s="4">
        <f>"(0.042)"</f>
        <v/>
      </c>
    </row>
    <row r="22">
      <c r="A22" s="3">
        <f>"4.clusplot2"</f>
        <v/>
      </c>
      <c r="B22" s="3">
        <f>""</f>
        <v/>
      </c>
      <c r="C22" s="3">
        <f>""</f>
        <v/>
      </c>
      <c r="D22" s="3">
        <f>""</f>
        <v/>
      </c>
      <c r="E22" s="3">
        <f>""</f>
        <v/>
      </c>
      <c r="F22" s="3">
        <f>""</f>
        <v/>
      </c>
      <c r="G22" s="3">
        <f>""</f>
        <v/>
      </c>
      <c r="H22" s="3">
        <f>"-0.002"</f>
        <v/>
      </c>
      <c r="I22" s="3">
        <f>"-0.004"</f>
        <v/>
      </c>
      <c r="J22" s="3">
        <f>"0.003"</f>
        <v/>
      </c>
      <c r="K22" s="3">
        <f>"0.003"</f>
        <v/>
      </c>
    </row>
    <row r="23">
      <c r="A23" s="4">
        <f>""</f>
        <v/>
      </c>
      <c r="B23" s="4">
        <f>""</f>
        <v/>
      </c>
      <c r="C23" s="4">
        <f>""</f>
        <v/>
      </c>
      <c r="D23" s="4">
        <f>""</f>
        <v/>
      </c>
      <c r="E23" s="4">
        <f>""</f>
        <v/>
      </c>
      <c r="F23" s="4">
        <f>""</f>
        <v/>
      </c>
      <c r="G23" s="4">
        <f>""</f>
        <v/>
      </c>
      <c r="H23" s="4">
        <f>"(0.046)"</f>
        <v/>
      </c>
      <c r="I23" s="4">
        <f>"(0.046)"</f>
        <v/>
      </c>
      <c r="J23" s="4">
        <f>"(0.046)"</f>
        <v/>
      </c>
      <c r="K23" s="4">
        <f>"(0.046)"</f>
        <v/>
      </c>
    </row>
    <row r="24">
      <c r="A24" s="3">
        <f>"5.clusplot2"</f>
        <v/>
      </c>
      <c r="B24" s="3">
        <f>""</f>
        <v/>
      </c>
      <c r="C24" s="3">
        <f>""</f>
        <v/>
      </c>
      <c r="D24" s="3">
        <f>""</f>
        <v/>
      </c>
      <c r="E24" s="3">
        <f>""</f>
        <v/>
      </c>
      <c r="F24" s="3">
        <f>""</f>
        <v/>
      </c>
      <c r="G24" s="3">
        <f>""</f>
        <v/>
      </c>
      <c r="H24" s="3">
        <f>"0.002"</f>
        <v/>
      </c>
      <c r="I24" s="3">
        <f>"-0.002"</f>
        <v/>
      </c>
      <c r="J24" s="3">
        <f>"0.014"</f>
        <v/>
      </c>
      <c r="K24" s="3">
        <f>"0.014"</f>
        <v/>
      </c>
    </row>
    <row r="25">
      <c r="A25" s="4">
        <f>""</f>
        <v/>
      </c>
      <c r="B25" s="4">
        <f>""</f>
        <v/>
      </c>
      <c r="C25" s="4">
        <f>""</f>
        <v/>
      </c>
      <c r="D25" s="4">
        <f>""</f>
        <v/>
      </c>
      <c r="E25" s="4">
        <f>""</f>
        <v/>
      </c>
      <c r="F25" s="4">
        <f>""</f>
        <v/>
      </c>
      <c r="G25" s="4">
        <f>""</f>
        <v/>
      </c>
      <c r="H25" s="4">
        <f>"(0.042)"</f>
        <v/>
      </c>
      <c r="I25" s="4">
        <f>"(0.042)"</f>
        <v/>
      </c>
      <c r="J25" s="4">
        <f>"(0.044)"</f>
        <v/>
      </c>
      <c r="K25" s="4">
        <f>"(0.044)"</f>
        <v/>
      </c>
    </row>
    <row r="26">
      <c r="A26" s="3">
        <f>"hr_indexD_total"</f>
        <v/>
      </c>
      <c r="B26" s="3">
        <f>""</f>
        <v/>
      </c>
      <c r="C26" s="3">
        <f>""</f>
        <v/>
      </c>
      <c r="D26" s="3">
        <f>""</f>
        <v/>
      </c>
      <c r="E26" s="3">
        <f>""</f>
        <v/>
      </c>
      <c r="F26" s="3">
        <f>""</f>
        <v/>
      </c>
      <c r="G26" s="3">
        <f>""</f>
        <v/>
      </c>
      <c r="H26" s="3">
        <f>""</f>
        <v/>
      </c>
      <c r="I26" s="3">
        <f>"-0.042***"</f>
        <v/>
      </c>
      <c r="J26" s="3">
        <f>"-0.041***"</f>
        <v/>
      </c>
      <c r="K26" s="3">
        <f>"-0.041***"</f>
        <v/>
      </c>
    </row>
    <row r="27">
      <c r="A27" s="4">
        <f>""</f>
        <v/>
      </c>
      <c r="B27" s="4">
        <f>""</f>
        <v/>
      </c>
      <c r="C27" s="4">
        <f>""</f>
        <v/>
      </c>
      <c r="D27" s="4">
        <f>""</f>
        <v/>
      </c>
      <c r="E27" s="4">
        <f>""</f>
        <v/>
      </c>
      <c r="F27" s="4">
        <f>""</f>
        <v/>
      </c>
      <c r="G27" s="4">
        <f>""</f>
        <v/>
      </c>
      <c r="H27" s="4">
        <f>""</f>
        <v/>
      </c>
      <c r="I27" s="4">
        <f>"(0.012)"</f>
        <v/>
      </c>
      <c r="J27" s="4">
        <f>"(0.012)"</f>
        <v/>
      </c>
      <c r="K27" s="4">
        <f>"(0.012)"</f>
        <v/>
      </c>
    </row>
    <row r="28">
      <c r="A28" s="3">
        <f>"sk_gap_sev"</f>
        <v/>
      </c>
      <c r="B28" s="3">
        <f>""</f>
        <v/>
      </c>
      <c r="C28" s="3">
        <f>""</f>
        <v/>
      </c>
      <c r="D28" s="3">
        <f>""</f>
        <v/>
      </c>
      <c r="E28" s="3">
        <f>""</f>
        <v/>
      </c>
      <c r="F28" s="3">
        <f>""</f>
        <v/>
      </c>
      <c r="G28" s="3">
        <f>""</f>
        <v/>
      </c>
      <c r="H28" s="3">
        <f>""</f>
        <v/>
      </c>
      <c r="I28" s="3">
        <f>""</f>
        <v/>
      </c>
      <c r="J28" s="3">
        <f>"0.044"</f>
        <v/>
      </c>
      <c r="K28" s="3">
        <f>"0.044"</f>
        <v/>
      </c>
    </row>
    <row r="29">
      <c r="A29" s="4">
        <f>""</f>
        <v/>
      </c>
      <c r="B29" s="4">
        <f>""</f>
        <v/>
      </c>
      <c r="C29" s="4">
        <f>""</f>
        <v/>
      </c>
      <c r="D29" s="4">
        <f>""</f>
        <v/>
      </c>
      <c r="E29" s="4">
        <f>""</f>
        <v/>
      </c>
      <c r="F29" s="4">
        <f>""</f>
        <v/>
      </c>
      <c r="G29" s="4">
        <f>""</f>
        <v/>
      </c>
      <c r="H29" s="4">
        <f>""</f>
        <v/>
      </c>
      <c r="I29" s="4">
        <f>""</f>
        <v/>
      </c>
      <c r="J29" s="4">
        <f>"(0.035)"</f>
        <v/>
      </c>
      <c r="K29" s="4">
        <f>"(0.035)"</f>
        <v/>
      </c>
    </row>
    <row r="30">
      <c r="A30" s="3">
        <f>"N"</f>
        <v/>
      </c>
      <c r="B30" s="3">
        <f>"1125"</f>
        <v/>
      </c>
      <c r="C30" s="3">
        <f>"1125"</f>
        <v/>
      </c>
      <c r="D30" s="3">
        <f>"1125"</f>
        <v/>
      </c>
      <c r="E30" s="3">
        <f>"1125"</f>
        <v/>
      </c>
      <c r="F30" s="3">
        <f>"1125"</f>
        <v/>
      </c>
      <c r="G30" s="3">
        <f>"1125"</f>
        <v/>
      </c>
      <c r="H30" s="3">
        <f>"1125"</f>
        <v/>
      </c>
      <c r="I30" s="3">
        <f>"1125"</f>
        <v/>
      </c>
      <c r="J30" s="3">
        <f>"1125"</f>
        <v/>
      </c>
      <c r="K30" s="3">
        <f>"1125"</f>
        <v/>
      </c>
    </row>
    <row r="31">
      <c r="A31" s="4">
        <f>"R-squared"</f>
        <v/>
      </c>
      <c r="B31" s="4">
        <f>"0.000"</f>
        <v/>
      </c>
      <c r="C31" s="4">
        <f>"0.089"</f>
        <v/>
      </c>
      <c r="D31" s="4">
        <f>"0.123"</f>
        <v/>
      </c>
      <c r="E31" s="4">
        <f>"0.123"</f>
        <v/>
      </c>
      <c r="F31" s="4">
        <f>"0.129"</f>
        <v/>
      </c>
      <c r="G31" s="4">
        <f>"0.140"</f>
        <v/>
      </c>
      <c r="H31" s="4">
        <f>"0.147"</f>
        <v/>
      </c>
      <c r="I31" s="4">
        <f>"0.157"</f>
        <v/>
      </c>
      <c r="J31" s="4">
        <f>"0.158"</f>
        <v/>
      </c>
      <c r="K31" s="4">
        <f>"0.158"</f>
        <v/>
      </c>
    </row>
    <row r="32">
      <c r="A32" s="3">
        <f>"Adjusted R-squared"</f>
        <v/>
      </c>
      <c r="B32" s="3">
        <f>"0.000"</f>
        <v/>
      </c>
      <c r="C32" s="3">
        <f>"0.088"</f>
        <v/>
      </c>
      <c r="D32" s="3">
        <f>"0.114"</f>
        <v/>
      </c>
      <c r="E32" s="3">
        <f>"0.113"</f>
        <v/>
      </c>
      <c r="F32" s="3">
        <f>"0.119"</f>
        <v/>
      </c>
      <c r="G32" s="3">
        <f>"0.129"</f>
        <v/>
      </c>
      <c r="H32" s="3">
        <f>"0.133"</f>
        <v/>
      </c>
      <c r="I32" s="3">
        <f>"0.143"</f>
        <v/>
      </c>
      <c r="J32" s="3">
        <f>"0.143"</f>
        <v/>
      </c>
      <c r="K32" s="3">
        <f>"0.143"</f>
        <v/>
      </c>
    </row>
    <row r="33">
      <c r="A33" s="4">
        <f>"Standard errors in parentheses"</f>
        <v/>
      </c>
      <c r="B33" s="7" t="n">
        <v/>
      </c>
      <c r="C33" s="7" t="n">
        <v/>
      </c>
      <c r="D33" s="7" t="n">
        <v/>
      </c>
      <c r="E33" s="7" t="n">
        <v/>
      </c>
      <c r="F33" s="7" t="n">
        <v/>
      </c>
      <c r="G33" s="7" t="n">
        <v/>
      </c>
      <c r="H33" s="7" t="n">
        <v/>
      </c>
      <c r="I33" s="7" t="n">
        <v/>
      </c>
      <c r="J33" s="7" t="n">
        <v/>
      </c>
      <c r="K33" s="7" t="n">
        <v/>
      </c>
    </row>
    <row r="34">
      <c r="A34" s="3">
        <f>"* p&lt;0.10</f>
        <v/>
      </c>
      <c r="B34" s="3" t="inlineStr">
        <is>
          <t xml:space="preserve"> ** p&lt;0.05</t>
        </is>
      </c>
      <c r="C34" s="3" t="inlineStr">
        <is>
          <t xml:space="preserve"> *** p&lt;0.01"</t>
        </is>
      </c>
      <c r="D34" s="6" t="n">
        <v/>
      </c>
      <c r="E34" s="6" t="n">
        <v/>
      </c>
      <c r="F34" s="6" t="n">
        <v/>
      </c>
      <c r="G34" s="6" t="n">
        <v/>
      </c>
      <c r="H34" s="6" t="n">
        <v/>
      </c>
      <c r="I34" s="6" t="n">
        <v/>
      </c>
      <c r="J34" s="6" t="n">
        <v/>
      </c>
      <c r="K34" s="6" t="n">
        <v/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39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</cols>
  <sheetData>
    <row r="1">
      <c r="A1" s="1" t="inlineStr">
        <is>
          <t>Regression with Complex Reskilling as Dependent Variable</t>
        </is>
      </c>
    </row>
    <row r="2"/>
    <row r="3">
      <c r="A3" s="5" t="inlineStr">
        <is>
          <t>Complex Reskilling Regression Results</t>
        </is>
      </c>
    </row>
    <row r="4">
      <c r="A4" s="2">
        <f>""</f>
        <v/>
      </c>
      <c r="B4" s="2">
        <f>"(1)"</f>
        <v/>
      </c>
      <c r="C4" s="2">
        <f>"(2)"</f>
        <v/>
      </c>
      <c r="D4" s="2">
        <f>"(3)"</f>
        <v/>
      </c>
      <c r="E4" s="2">
        <f>"(4)"</f>
        <v/>
      </c>
      <c r="F4" s="2">
        <f>"(5)"</f>
        <v/>
      </c>
      <c r="G4" s="2">
        <f>"(6)"</f>
        <v/>
      </c>
      <c r="H4" s="2">
        <f>"(7)"</f>
        <v/>
      </c>
      <c r="I4" s="2">
        <f>"(8)"</f>
        <v/>
      </c>
      <c r="J4" s="2">
        <f>"(9)"</f>
        <v/>
      </c>
      <c r="K4" s="2">
        <f>"(10)"</f>
        <v/>
      </c>
    </row>
    <row r="5">
      <c r="A5" s="4">
        <f>""</f>
        <v/>
      </c>
      <c r="B5" s="4">
        <f>"complex_reskilling"</f>
        <v/>
      </c>
      <c r="C5" s="4">
        <f>"complex_reskilling"</f>
        <v/>
      </c>
      <c r="D5" s="4">
        <f>"complex_reskilling"</f>
        <v/>
      </c>
      <c r="E5" s="4">
        <f>"complex_reskilling"</f>
        <v/>
      </c>
      <c r="F5" s="4">
        <f>"complex_reskilling"</f>
        <v/>
      </c>
      <c r="G5" s="4">
        <f>"complex_reskilling"</f>
        <v/>
      </c>
      <c r="H5" s="4">
        <f>"complex_reskilling"</f>
        <v/>
      </c>
      <c r="I5" s="4">
        <f>"complex_reskilling"</f>
        <v/>
      </c>
      <c r="J5" s="4">
        <f>"complex_reskilling"</f>
        <v/>
      </c>
      <c r="K5" s="4">
        <f>"complex_reskilling"</f>
        <v/>
      </c>
    </row>
    <row r="6">
      <c r="A6" s="3">
        <f>"f_medium"</f>
        <v/>
      </c>
      <c r="B6" s="3">
        <f>""</f>
        <v/>
      </c>
      <c r="C6" s="3">
        <f>"-0.185***"</f>
        <v/>
      </c>
      <c r="D6" s="3">
        <f>"-0.177***"</f>
        <v/>
      </c>
      <c r="E6" s="3">
        <f>"-0.178***"</f>
        <v/>
      </c>
      <c r="F6" s="3">
        <f>"-0.176***"</f>
        <v/>
      </c>
      <c r="G6" s="3">
        <f>"-0.173***"</f>
        <v/>
      </c>
      <c r="H6" s="3">
        <f>"-0.182***"</f>
        <v/>
      </c>
      <c r="I6" s="3">
        <f>"-0.182***"</f>
        <v/>
      </c>
      <c r="J6" s="3">
        <f>"-0.177***"</f>
        <v/>
      </c>
      <c r="K6" s="3">
        <f>"-0.177***"</f>
        <v/>
      </c>
    </row>
    <row r="7">
      <c r="A7" s="4">
        <f>""</f>
        <v/>
      </c>
      <c r="B7" s="4">
        <f>""</f>
        <v/>
      </c>
      <c r="C7" s="4">
        <f>"(0.033)"</f>
        <v/>
      </c>
      <c r="D7" s="4">
        <f>"(0.033)"</f>
        <v/>
      </c>
      <c r="E7" s="4">
        <f>"(0.034)"</f>
        <v/>
      </c>
      <c r="F7" s="4">
        <f>"(0.034)"</f>
        <v/>
      </c>
      <c r="G7" s="4">
        <f>"(0.034)"</f>
        <v/>
      </c>
      <c r="H7" s="4">
        <f>"(0.034)"</f>
        <v/>
      </c>
      <c r="I7" s="4">
        <f>"(0.034)"</f>
        <v/>
      </c>
      <c r="J7" s="4">
        <f>"(0.034)"</f>
        <v/>
      </c>
      <c r="K7" s="4">
        <f>"(0.034)"</f>
        <v/>
      </c>
    </row>
    <row r="8">
      <c r="A8" s="3">
        <f>"f_large"</f>
        <v/>
      </c>
      <c r="B8" s="3">
        <f>""</f>
        <v/>
      </c>
      <c r="C8" s="3">
        <f>"-0.111***"</f>
        <v/>
      </c>
      <c r="D8" s="3">
        <f>"-0.107***"</f>
        <v/>
      </c>
      <c r="E8" s="3">
        <f>"-0.100***"</f>
        <v/>
      </c>
      <c r="F8" s="3">
        <f>"-0.092***"</f>
        <v/>
      </c>
      <c r="G8" s="3">
        <f>"-0.089***"</f>
        <v/>
      </c>
      <c r="H8" s="3">
        <f>"-0.090***"</f>
        <v/>
      </c>
      <c r="I8" s="3">
        <f>"-0.095***"</f>
        <v/>
      </c>
      <c r="J8" s="3">
        <f>"-0.089***"</f>
        <v/>
      </c>
      <c r="K8" s="3">
        <f>"-0.089***"</f>
        <v/>
      </c>
    </row>
    <row r="9">
      <c r="A9" s="4">
        <f>""</f>
        <v/>
      </c>
      <c r="B9" s="4">
        <f>""</f>
        <v/>
      </c>
      <c r="C9" s="4">
        <f>"(0.032)"</f>
        <v/>
      </c>
      <c r="D9" s="4">
        <f>"(0.032)"</f>
        <v/>
      </c>
      <c r="E9" s="4">
        <f>"(0.033)"</f>
        <v/>
      </c>
      <c r="F9" s="4">
        <f>"(0.033)"</f>
        <v/>
      </c>
      <c r="G9" s="4">
        <f>"(0.034)"</f>
        <v/>
      </c>
      <c r="H9" s="4">
        <f>"(0.034)"</f>
        <v/>
      </c>
      <c r="I9" s="4">
        <f>"(0.034)"</f>
        <v/>
      </c>
      <c r="J9" s="4">
        <f>"(0.034)"</f>
        <v/>
      </c>
      <c r="K9" s="4">
        <f>"(0.034)"</f>
        <v/>
      </c>
    </row>
    <row r="10">
      <c r="A10" s="3">
        <f>"f_mne"</f>
        <v/>
      </c>
      <c r="B10" s="3">
        <f>""</f>
        <v/>
      </c>
      <c r="C10" s="3">
        <f>""</f>
        <v/>
      </c>
      <c r="D10" s="3">
        <f>""</f>
        <v/>
      </c>
      <c r="E10" s="3">
        <f>"-0.036"</f>
        <v/>
      </c>
      <c r="F10" s="3">
        <f>"-0.027"</f>
        <v/>
      </c>
      <c r="G10" s="3">
        <f>"-0.027"</f>
        <v/>
      </c>
      <c r="H10" s="3">
        <f>"-0.024"</f>
        <v/>
      </c>
      <c r="I10" s="3">
        <f>"-0.023"</f>
        <v/>
      </c>
      <c r="J10" s="3">
        <f>"-0.028"</f>
        <v/>
      </c>
      <c r="K10" s="3">
        <f>"-0.028"</f>
        <v/>
      </c>
    </row>
    <row r="11">
      <c r="A11" s="4">
        <f>""</f>
        <v/>
      </c>
      <c r="B11" s="4">
        <f>""</f>
        <v/>
      </c>
      <c r="C11" s="4">
        <f>""</f>
        <v/>
      </c>
      <c r="D11" s="4">
        <f>""</f>
        <v/>
      </c>
      <c r="E11" s="4">
        <f>"(0.028)"</f>
        <v/>
      </c>
      <c r="F11" s="4">
        <f>"(0.028)"</f>
        <v/>
      </c>
      <c r="G11" s="4">
        <f>"(0.028)"</f>
        <v/>
      </c>
      <c r="H11" s="4">
        <f>"(0.028)"</f>
        <v/>
      </c>
      <c r="I11" s="4">
        <f>"(0.028)"</f>
        <v/>
      </c>
      <c r="J11" s="4">
        <f>"(0.028)"</f>
        <v/>
      </c>
      <c r="K11" s="4">
        <f>"(0.028)"</f>
        <v/>
      </c>
    </row>
    <row r="12">
      <c r="A12" s="3">
        <f>"f_public"</f>
        <v/>
      </c>
      <c r="B12" s="3">
        <f>""</f>
        <v/>
      </c>
      <c r="C12" s="3">
        <f>""</f>
        <v/>
      </c>
      <c r="D12" s="3">
        <f>""</f>
        <v/>
      </c>
      <c r="E12" s="3">
        <f>""</f>
        <v/>
      </c>
      <c r="F12" s="3">
        <f>"-0.033"</f>
        <v/>
      </c>
      <c r="G12" s="3">
        <f>"-0.033"</f>
        <v/>
      </c>
      <c r="H12" s="3">
        <f>"-0.031"</f>
        <v/>
      </c>
      <c r="I12" s="3">
        <f>"-0.023"</f>
        <v/>
      </c>
      <c r="J12" s="3">
        <f>"-0.019"</f>
        <v/>
      </c>
      <c r="K12" s="3">
        <f>"-0.019"</f>
        <v/>
      </c>
    </row>
    <row r="13">
      <c r="A13" s="4">
        <f>""</f>
        <v/>
      </c>
      <c r="B13" s="4">
        <f>""</f>
        <v/>
      </c>
      <c r="C13" s="4">
        <f>""</f>
        <v/>
      </c>
      <c r="D13" s="4">
        <f>""</f>
        <v/>
      </c>
      <c r="E13" s="4">
        <f>""</f>
        <v/>
      </c>
      <c r="F13" s="4">
        <f>"(0.026)"</f>
        <v/>
      </c>
      <c r="G13" s="4">
        <f>"(0.026)"</f>
        <v/>
      </c>
      <c r="H13" s="4">
        <f>"(0.026)"</f>
        <v/>
      </c>
      <c r="I13" s="4">
        <f>"(0.027)"</f>
        <v/>
      </c>
      <c r="J13" s="4">
        <f>"(0.027)"</f>
        <v/>
      </c>
      <c r="K13" s="4">
        <f>"(0.027)"</f>
        <v/>
      </c>
    </row>
    <row r="14">
      <c r="A14" s="3">
        <f>"f_union50"</f>
        <v/>
      </c>
      <c r="B14" s="3">
        <f>""</f>
        <v/>
      </c>
      <c r="C14" s="3">
        <f>""</f>
        <v/>
      </c>
      <c r="D14" s="3">
        <f>""</f>
        <v/>
      </c>
      <c r="E14" s="3">
        <f>""</f>
        <v/>
      </c>
      <c r="F14" s="3">
        <f>""</f>
        <v/>
      </c>
      <c r="G14" s="3">
        <f>"-0.028"</f>
        <v/>
      </c>
      <c r="H14" s="3">
        <f>"-0.034"</f>
        <v/>
      </c>
      <c r="I14" s="3">
        <f>"-0.036"</f>
        <v/>
      </c>
      <c r="J14" s="3">
        <f>"-0.041"</f>
        <v/>
      </c>
      <c r="K14" s="3">
        <f>"-0.041"</f>
        <v/>
      </c>
    </row>
    <row r="15">
      <c r="A15" s="4">
        <f>""</f>
        <v/>
      </c>
      <c r="B15" s="4">
        <f>""</f>
        <v/>
      </c>
      <c r="C15" s="4">
        <f>""</f>
        <v/>
      </c>
      <c r="D15" s="4">
        <f>""</f>
        <v/>
      </c>
      <c r="E15" s="4">
        <f>""</f>
        <v/>
      </c>
      <c r="F15" s="4">
        <f>""</f>
        <v/>
      </c>
      <c r="G15" s="4">
        <f>"(0.029)"</f>
        <v/>
      </c>
      <c r="H15" s="4">
        <f>"(0.029)"</f>
        <v/>
      </c>
      <c r="I15" s="4">
        <f>"(0.029)"</f>
        <v/>
      </c>
      <c r="J15" s="4">
        <f>"(0.029)"</f>
        <v/>
      </c>
      <c r="K15" s="4">
        <f>"(0.029)"</f>
        <v/>
      </c>
    </row>
    <row r="16">
      <c r="A16" s="3">
        <f>"1.clusplot2"</f>
        <v/>
      </c>
      <c r="B16" s="3">
        <f>""</f>
        <v/>
      </c>
      <c r="C16" s="3">
        <f>""</f>
        <v/>
      </c>
      <c r="D16" s="3">
        <f>""</f>
        <v/>
      </c>
      <c r="E16" s="3">
        <f>""</f>
        <v/>
      </c>
      <c r="F16" s="3">
        <f>""</f>
        <v/>
      </c>
      <c r="G16" s="3">
        <f>""</f>
        <v/>
      </c>
      <c r="H16" s="3">
        <f>"0.000"</f>
        <v/>
      </c>
      <c r="I16" s="3">
        <f>"0.000"</f>
        <v/>
      </c>
      <c r="J16" s="3">
        <f>"0.000"</f>
        <v/>
      </c>
      <c r="K16" s="3">
        <f>"0.000"</f>
        <v/>
      </c>
    </row>
    <row r="17">
      <c r="A17" s="4">
        <f>""</f>
        <v/>
      </c>
      <c r="B17" s="4">
        <f>""</f>
        <v/>
      </c>
      <c r="C17" s="4">
        <f>""</f>
        <v/>
      </c>
      <c r="D17" s="4">
        <f>""</f>
        <v/>
      </c>
      <c r="E17" s="4">
        <f>""</f>
        <v/>
      </c>
      <c r="F17" s="4">
        <f>""</f>
        <v/>
      </c>
      <c r="G17" s="4">
        <f>""</f>
        <v/>
      </c>
      <c r="H17" s="4">
        <f>"(.)"</f>
        <v/>
      </c>
      <c r="I17" s="4">
        <f>"(.)"</f>
        <v/>
      </c>
      <c r="J17" s="4">
        <f>"(.)"</f>
        <v/>
      </c>
      <c r="K17" s="4">
        <f>"(.)"</f>
        <v/>
      </c>
    </row>
    <row r="18">
      <c r="A18" s="3">
        <f>"2.clusplot2"</f>
        <v/>
      </c>
      <c r="B18" s="3">
        <f>""</f>
        <v/>
      </c>
      <c r="C18" s="3">
        <f>""</f>
        <v/>
      </c>
      <c r="D18" s="3">
        <f>""</f>
        <v/>
      </c>
      <c r="E18" s="3">
        <f>""</f>
        <v/>
      </c>
      <c r="F18" s="3">
        <f>""</f>
        <v/>
      </c>
      <c r="G18" s="3">
        <f>""</f>
        <v/>
      </c>
      <c r="H18" s="3">
        <f>"0.027"</f>
        <v/>
      </c>
      <c r="I18" s="3">
        <f>"0.031"</f>
        <v/>
      </c>
      <c r="J18" s="3">
        <f>"0.029"</f>
        <v/>
      </c>
      <c r="K18" s="3">
        <f>"0.029"</f>
        <v/>
      </c>
    </row>
    <row r="19">
      <c r="A19" s="4">
        <f>""</f>
        <v/>
      </c>
      <c r="B19" s="4">
        <f>""</f>
        <v/>
      </c>
      <c r="C19" s="4">
        <f>""</f>
        <v/>
      </c>
      <c r="D19" s="4">
        <f>""</f>
        <v/>
      </c>
      <c r="E19" s="4">
        <f>""</f>
        <v/>
      </c>
      <c r="F19" s="4">
        <f>""</f>
        <v/>
      </c>
      <c r="G19" s="4">
        <f>""</f>
        <v/>
      </c>
      <c r="H19" s="4">
        <f>"(0.045)"</f>
        <v/>
      </c>
      <c r="I19" s="4">
        <f>"(0.045)"</f>
        <v/>
      </c>
      <c r="J19" s="4">
        <f>"(0.044)"</f>
        <v/>
      </c>
      <c r="K19" s="4">
        <f>"(0.044)"</f>
        <v/>
      </c>
    </row>
    <row r="20">
      <c r="A20" s="3">
        <f>"3.clusplot2"</f>
        <v/>
      </c>
      <c r="B20" s="3">
        <f>""</f>
        <v/>
      </c>
      <c r="C20" s="3">
        <f>""</f>
        <v/>
      </c>
      <c r="D20" s="3">
        <f>""</f>
        <v/>
      </c>
      <c r="E20" s="3">
        <f>""</f>
        <v/>
      </c>
      <c r="F20" s="3">
        <f>""</f>
        <v/>
      </c>
      <c r="G20" s="3">
        <f>""</f>
        <v/>
      </c>
      <c r="H20" s="3">
        <f>"-0.013"</f>
        <v/>
      </c>
      <c r="I20" s="3">
        <f>"-0.018"</f>
        <v/>
      </c>
      <c r="J20" s="3">
        <f>"-0.012"</f>
        <v/>
      </c>
      <c r="K20" s="3">
        <f>"-0.012"</f>
        <v/>
      </c>
    </row>
    <row r="21">
      <c r="A21" s="4">
        <f>""</f>
        <v/>
      </c>
      <c r="B21" s="4">
        <f>""</f>
        <v/>
      </c>
      <c r="C21" s="4">
        <f>""</f>
        <v/>
      </c>
      <c r="D21" s="4">
        <f>""</f>
        <v/>
      </c>
      <c r="E21" s="4">
        <f>""</f>
        <v/>
      </c>
      <c r="F21" s="4">
        <f>""</f>
        <v/>
      </c>
      <c r="G21" s="4">
        <f>""</f>
        <v/>
      </c>
      <c r="H21" s="4">
        <f>"(0.037)"</f>
        <v/>
      </c>
      <c r="I21" s="4">
        <f>"(0.037)"</f>
        <v/>
      </c>
      <c r="J21" s="4">
        <f>"(0.037)"</f>
        <v/>
      </c>
      <c r="K21" s="4">
        <f>"(0.037)"</f>
        <v/>
      </c>
    </row>
    <row r="22">
      <c r="A22" s="3">
        <f>"4.clusplot2"</f>
        <v/>
      </c>
      <c r="B22" s="3">
        <f>""</f>
        <v/>
      </c>
      <c r="C22" s="3">
        <f>""</f>
        <v/>
      </c>
      <c r="D22" s="3">
        <f>""</f>
        <v/>
      </c>
      <c r="E22" s="3">
        <f>""</f>
        <v/>
      </c>
      <c r="F22" s="3">
        <f>""</f>
        <v/>
      </c>
      <c r="G22" s="3">
        <f>""</f>
        <v/>
      </c>
      <c r="H22" s="3">
        <f>"-0.049"</f>
        <v/>
      </c>
      <c r="I22" s="3">
        <f>"-0.050"</f>
        <v/>
      </c>
      <c r="J22" s="3">
        <f>"-0.039"</f>
        <v/>
      </c>
      <c r="K22" s="3">
        <f>"-0.039"</f>
        <v/>
      </c>
    </row>
    <row r="23">
      <c r="A23" s="4">
        <f>""</f>
        <v/>
      </c>
      <c r="B23" s="4">
        <f>""</f>
        <v/>
      </c>
      <c r="C23" s="4">
        <f>""</f>
        <v/>
      </c>
      <c r="D23" s="4">
        <f>""</f>
        <v/>
      </c>
      <c r="E23" s="4">
        <f>""</f>
        <v/>
      </c>
      <c r="F23" s="4">
        <f>""</f>
        <v/>
      </c>
      <c r="G23" s="4">
        <f>""</f>
        <v/>
      </c>
      <c r="H23" s="4">
        <f>"(0.040)"</f>
        <v/>
      </c>
      <c r="I23" s="4">
        <f>"(0.040)"</f>
        <v/>
      </c>
      <c r="J23" s="4">
        <f>"(0.040)"</f>
        <v/>
      </c>
      <c r="K23" s="4">
        <f>"(0.040)"</f>
        <v/>
      </c>
    </row>
    <row r="24">
      <c r="A24" s="3">
        <f>"5.clusplot2"</f>
        <v/>
      </c>
      <c r="B24" s="3">
        <f>""</f>
        <v/>
      </c>
      <c r="C24" s="3">
        <f>""</f>
        <v/>
      </c>
      <c r="D24" s="3">
        <f>""</f>
        <v/>
      </c>
      <c r="E24" s="3">
        <f>""</f>
        <v/>
      </c>
      <c r="F24" s="3">
        <f>""</f>
        <v/>
      </c>
      <c r="G24" s="3">
        <f>""</f>
        <v/>
      </c>
      <c r="H24" s="3">
        <f>"-0.019"</f>
        <v/>
      </c>
      <c r="I24" s="3">
        <f>"-0.021"</f>
        <v/>
      </c>
      <c r="J24" s="3">
        <f>"0.007"</f>
        <v/>
      </c>
      <c r="K24" s="3">
        <f>"0.007"</f>
        <v/>
      </c>
    </row>
    <row r="25">
      <c r="A25" s="4">
        <f>""</f>
        <v/>
      </c>
      <c r="B25" s="4">
        <f>""</f>
        <v/>
      </c>
      <c r="C25" s="4">
        <f>""</f>
        <v/>
      </c>
      <c r="D25" s="4">
        <f>""</f>
        <v/>
      </c>
      <c r="E25" s="4">
        <f>""</f>
        <v/>
      </c>
      <c r="F25" s="4">
        <f>""</f>
        <v/>
      </c>
      <c r="G25" s="4">
        <f>""</f>
        <v/>
      </c>
      <c r="H25" s="4">
        <f>"(0.038)"</f>
        <v/>
      </c>
      <c r="I25" s="4">
        <f>"(0.038)"</f>
        <v/>
      </c>
      <c r="J25" s="4">
        <f>"(0.039)"</f>
        <v/>
      </c>
      <c r="K25" s="4">
        <f>"(0.039)"</f>
        <v/>
      </c>
    </row>
    <row r="26">
      <c r="A26" s="3">
        <f>"hr_indexD_total"</f>
        <v/>
      </c>
      <c r="B26" s="3">
        <f>""</f>
        <v/>
      </c>
      <c r="C26" s="3">
        <f>""</f>
        <v/>
      </c>
      <c r="D26" s="3">
        <f>""</f>
        <v/>
      </c>
      <c r="E26" s="3">
        <f>""</f>
        <v/>
      </c>
      <c r="F26" s="3">
        <f>""</f>
        <v/>
      </c>
      <c r="G26" s="3">
        <f>""</f>
        <v/>
      </c>
      <c r="H26" s="3">
        <f>""</f>
        <v/>
      </c>
      <c r="I26" s="3">
        <f>"-0.020*"</f>
        <v/>
      </c>
      <c r="J26" s="3">
        <f>"-0.019*"</f>
        <v/>
      </c>
      <c r="K26" s="3">
        <f>"-0.019*"</f>
        <v/>
      </c>
    </row>
    <row r="27">
      <c r="A27" s="4">
        <f>""</f>
        <v/>
      </c>
      <c r="B27" s="4">
        <f>""</f>
        <v/>
      </c>
      <c r="C27" s="4">
        <f>""</f>
        <v/>
      </c>
      <c r="D27" s="4">
        <f>""</f>
        <v/>
      </c>
      <c r="E27" s="4">
        <f>""</f>
        <v/>
      </c>
      <c r="F27" s="4">
        <f>""</f>
        <v/>
      </c>
      <c r="G27" s="4">
        <f>""</f>
        <v/>
      </c>
      <c r="H27" s="4">
        <f>""</f>
        <v/>
      </c>
      <c r="I27" s="4">
        <f>"(0.011)"</f>
        <v/>
      </c>
      <c r="J27" s="4">
        <f>"(0.011)"</f>
        <v/>
      </c>
      <c r="K27" s="4">
        <f>"(0.011)"</f>
        <v/>
      </c>
    </row>
    <row r="28">
      <c r="A28" s="3">
        <f>"sk_gap_sev"</f>
        <v/>
      </c>
      <c r="B28" s="3">
        <f>""</f>
        <v/>
      </c>
      <c r="C28" s="3">
        <f>""</f>
        <v/>
      </c>
      <c r="D28" s="3">
        <f>""</f>
        <v/>
      </c>
      <c r="E28" s="3">
        <f>""</f>
        <v/>
      </c>
      <c r="F28" s="3">
        <f>""</f>
        <v/>
      </c>
      <c r="G28" s="3">
        <f>""</f>
        <v/>
      </c>
      <c r="H28" s="3">
        <f>""</f>
        <v/>
      </c>
      <c r="I28" s="3">
        <f>""</f>
        <v/>
      </c>
      <c r="J28" s="3">
        <f>"0.077**"</f>
        <v/>
      </c>
      <c r="K28" s="3">
        <f>"0.077**"</f>
        <v/>
      </c>
    </row>
    <row r="29">
      <c r="A29" s="4">
        <f>""</f>
        <v/>
      </c>
      <c r="B29" s="4">
        <f>""</f>
        <v/>
      </c>
      <c r="C29" s="4">
        <f>""</f>
        <v/>
      </c>
      <c r="D29" s="4">
        <f>""</f>
        <v/>
      </c>
      <c r="E29" s="4">
        <f>""</f>
        <v/>
      </c>
      <c r="F29" s="4">
        <f>""</f>
        <v/>
      </c>
      <c r="G29" s="4">
        <f>""</f>
        <v/>
      </c>
      <c r="H29" s="4">
        <f>""</f>
        <v/>
      </c>
      <c r="I29" s="4">
        <f>""</f>
        <v/>
      </c>
      <c r="J29" s="4">
        <f>"(0.032)"</f>
        <v/>
      </c>
      <c r="K29" s="4">
        <f>"(0.032)"</f>
        <v/>
      </c>
    </row>
    <row r="30">
      <c r="A30" s="3">
        <f>"N"</f>
        <v/>
      </c>
      <c r="B30" s="3">
        <f>"1125"</f>
        <v/>
      </c>
      <c r="C30" s="3">
        <f>"1125"</f>
        <v/>
      </c>
      <c r="D30" s="3">
        <f>"1125"</f>
        <v/>
      </c>
      <c r="E30" s="3">
        <f>"1125"</f>
        <v/>
      </c>
      <c r="F30" s="3">
        <f>"1125"</f>
        <v/>
      </c>
      <c r="G30" s="3">
        <f>"1125"</f>
        <v/>
      </c>
      <c r="H30" s="3">
        <f>"1125"</f>
        <v/>
      </c>
      <c r="I30" s="3">
        <f>"1125"</f>
        <v/>
      </c>
      <c r="J30" s="3">
        <f>"1125"</f>
        <v/>
      </c>
      <c r="K30" s="3">
        <f>"1125"</f>
        <v/>
      </c>
    </row>
    <row r="31">
      <c r="A31" s="4">
        <f>"R-squared"</f>
        <v/>
      </c>
      <c r="B31" s="4">
        <f>"0.000"</f>
        <v/>
      </c>
      <c r="C31" s="4">
        <f>"0.028"</f>
        <v/>
      </c>
      <c r="D31" s="4">
        <f>"0.046"</f>
        <v/>
      </c>
      <c r="E31" s="4">
        <f>"0.048"</f>
        <v/>
      </c>
      <c r="F31" s="4">
        <f>"0.049"</f>
        <v/>
      </c>
      <c r="G31" s="4">
        <f>"0.050"</f>
        <v/>
      </c>
      <c r="H31" s="4">
        <f>"0.052"</f>
        <v/>
      </c>
      <c r="I31" s="4">
        <f>"0.056"</f>
        <v/>
      </c>
      <c r="J31" s="4">
        <f>"0.061"</f>
        <v/>
      </c>
      <c r="K31" s="4">
        <f>"0.061"</f>
        <v/>
      </c>
    </row>
    <row r="32">
      <c r="A32" s="3">
        <f>"Adjusted R-squared"</f>
        <v/>
      </c>
      <c r="B32" s="3">
        <f>"0.000"</f>
        <v/>
      </c>
      <c r="C32" s="3">
        <f>"0.026"</f>
        <v/>
      </c>
      <c r="D32" s="3">
        <f>"0.037"</f>
        <v/>
      </c>
      <c r="E32" s="3">
        <f>"0.037"</f>
        <v/>
      </c>
      <c r="F32" s="3">
        <f>"0.038"</f>
        <v/>
      </c>
      <c r="G32" s="3">
        <f>"0.038"</f>
        <v/>
      </c>
      <c r="H32" s="3">
        <f>"0.037"</f>
        <v/>
      </c>
      <c r="I32" s="3">
        <f>"0.039"</f>
        <v/>
      </c>
      <c r="J32" s="3">
        <f>"0.044"</f>
        <v/>
      </c>
      <c r="K32" s="3">
        <f>"0.044"</f>
        <v/>
      </c>
    </row>
    <row r="33">
      <c r="A33" s="4">
        <f>"Standard errors in parentheses"</f>
        <v/>
      </c>
      <c r="B33" s="7" t="n">
        <v/>
      </c>
      <c r="C33" s="7" t="n">
        <v/>
      </c>
      <c r="D33" s="7" t="n">
        <v/>
      </c>
      <c r="E33" s="7" t="n">
        <v/>
      </c>
      <c r="F33" s="7" t="n">
        <v/>
      </c>
      <c r="G33" s="7" t="n">
        <v/>
      </c>
      <c r="H33" s="7" t="n">
        <v/>
      </c>
      <c r="I33" s="7" t="n">
        <v/>
      </c>
      <c r="J33" s="7" t="n">
        <v/>
      </c>
      <c r="K33" s="7" t="n">
        <v/>
      </c>
    </row>
    <row r="34">
      <c r="A34" s="3">
        <f>"* p&lt;0.10</f>
        <v/>
      </c>
      <c r="B34" s="3" t="inlineStr">
        <is>
          <t xml:space="preserve"> ** p&lt;0.05</t>
        </is>
      </c>
      <c r="C34" s="3" t="inlineStr">
        <is>
          <t xml:space="preserve"> *** p&lt;0.01"</t>
        </is>
      </c>
      <c r="D34" s="6" t="n">
        <v/>
      </c>
      <c r="E34" s="6" t="n">
        <v/>
      </c>
      <c r="F34" s="6" t="n">
        <v/>
      </c>
      <c r="G34" s="6" t="n">
        <v/>
      </c>
      <c r="H34" s="6" t="n">
        <v/>
      </c>
      <c r="I34" s="6" t="n">
        <v/>
      </c>
      <c r="J34" s="6" t="n">
        <v/>
      </c>
      <c r="K34" s="6" t="n">
        <v/>
      </c>
    </row>
    <row r="35"/>
    <row r="36"/>
    <row r="37">
      <c r="A37" s="8" t="inlineStr">
        <is>
          <t>Note: Complex Reskilling is defined as programs that are both Reskilling (program type) AND belong to Cluster 2 (more intensive programs)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2025-03-14T23:23:41Z</dcterms:created>
  <dcterms:modified xmlns:dcterms="http://purl.org/dc/terms/" xmlns:xsi="http://www.w3.org/2001/XMLSchema-instance" xsi:type="dcterms:W3CDTF">2025-03-14T23:23:41Z</dcterms:modified>
</cp:coreProperties>
</file>